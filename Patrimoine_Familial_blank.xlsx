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ulien/Downloads/"/>
    </mc:Choice>
  </mc:AlternateContent>
  <xr:revisionPtr revIDLastSave="0" documentId="13_ncr:1_{41B6FFFC-DBED-214D-93DB-3ABCE5359C9F}" xr6:coauthVersionLast="47" xr6:coauthVersionMax="47" xr10:uidLastSave="{00000000-0000-0000-0000-000000000000}"/>
  <bookViews>
    <workbookView xWindow="30080" yWindow="600" windowWidth="30080" windowHeight="39500" tabRatio="500" activeTab="6" xr2:uid="{00000000-000D-0000-FFFF-FFFF00000000}"/>
  </bookViews>
  <sheets>
    <sheet name="README" sheetId="1" r:id="rId1"/>
    <sheet name="Listes" sheetId="2" r:id="rId2"/>
    <sheet name="Positions" sheetId="3" r:id="rId3"/>
    <sheet name="Flux" sheetId="4" r:id="rId4"/>
    <sheet name="Entites" sheetId="5" r:id="rId5"/>
    <sheet name="Synthese" sheetId="6" r:id="rId6"/>
    <sheet name="TCD" sheetId="7" r:id="rId7"/>
  </sheets>
  <calcPr calcId="191029"/>
  <pivotCaches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2" l="1"/>
  <c r="H14" i="2"/>
  <c r="H13" i="2"/>
  <c r="L12" i="2"/>
  <c r="H12" i="2"/>
  <c r="L11" i="2"/>
  <c r="H11" i="2"/>
  <c r="L10" i="2"/>
  <c r="H10" i="2"/>
  <c r="L9" i="2"/>
  <c r="H9" i="2"/>
  <c r="L8" i="2"/>
  <c r="H8" i="2"/>
  <c r="L7" i="2"/>
  <c r="H7" i="2"/>
  <c r="L6" i="2"/>
  <c r="H6" i="2"/>
  <c r="L5" i="2"/>
  <c r="H5" i="2"/>
  <c r="L4" i="2"/>
  <c r="H4" i="2"/>
  <c r="L3" i="2"/>
  <c r="H3" i="2"/>
  <c r="L2" i="2"/>
  <c r="H2" i="2"/>
  <c r="F44" i="6"/>
  <c r="F43" i="6"/>
  <c r="F42" i="6"/>
  <c r="F41" i="6"/>
  <c r="F40" i="6"/>
  <c r="J39" i="6"/>
  <c r="I39" i="6"/>
  <c r="H39" i="6" a="1"/>
  <c r="H39" i="6" s="1"/>
  <c r="F35" i="6"/>
  <c r="F34" i="6"/>
  <c r="F33" i="6"/>
  <c r="F32" i="6"/>
  <c r="F31" i="6"/>
  <c r="F30" i="6"/>
  <c r="F29" i="6"/>
  <c r="B29" i="6"/>
  <c r="F28" i="6"/>
  <c r="F27" i="6"/>
  <c r="F26" i="6"/>
  <c r="G25" i="6"/>
  <c r="F25" i="6"/>
  <c r="F24" i="6"/>
  <c r="F23" i="6"/>
  <c r="F22" i="6"/>
  <c r="H21" i="6" a="1"/>
  <c r="H21" i="6" s="1"/>
  <c r="H25" i="6" s="1"/>
  <c r="F17" i="6"/>
  <c r="G17" i="6" s="1"/>
  <c r="F16" i="6"/>
  <c r="B16" i="6"/>
  <c r="B20" i="6" s="1"/>
  <c r="F15" i="6"/>
  <c r="F14" i="6"/>
  <c r="G13" i="6"/>
  <c r="F13" i="6"/>
  <c r="F12" i="6"/>
  <c r="F11" i="6"/>
  <c r="F10" i="6"/>
  <c r="D10" i="6"/>
  <c r="C10" i="6"/>
  <c r="A10" i="6"/>
  <c r="F9" i="6"/>
  <c r="G9" i="6" s="1"/>
  <c r="A9" i="6"/>
  <c r="F8" i="6"/>
  <c r="A8" i="6"/>
  <c r="F7" i="6"/>
  <c r="A7" i="6"/>
  <c r="H6" i="6" s="1" a="1"/>
  <c r="B3" i="6"/>
  <c r="K6" i="6" l="1"/>
  <c r="J6" i="6"/>
  <c r="I6" i="6"/>
  <c r="H6" i="6"/>
  <c r="H32" i="6"/>
  <c r="G34" i="6"/>
  <c r="H31" i="6"/>
  <c r="H34" i="6"/>
  <c r="B7" i="6"/>
  <c r="I21" i="6"/>
  <c r="I22" i="6" s="1"/>
  <c r="I32" i="6"/>
  <c r="G31" i="6"/>
  <c r="G28" i="6"/>
  <c r="H27" i="6"/>
  <c r="G26" i="6"/>
  <c r="C7" i="6"/>
  <c r="J8" i="6"/>
  <c r="G12" i="6"/>
  <c r="I13" i="6"/>
  <c r="K14" i="6"/>
  <c r="J21" i="6"/>
  <c r="G24" i="6"/>
  <c r="I25" i="6"/>
  <c r="H40" i="6"/>
  <c r="B8" i="6"/>
  <c r="K8" i="6"/>
  <c r="I9" i="6"/>
  <c r="G10" i="6"/>
  <c r="I31" i="6"/>
  <c r="H12" i="6"/>
  <c r="J13" i="6"/>
  <c r="I17" i="6"/>
  <c r="K21" i="6"/>
  <c r="K22" i="6" s="1"/>
  <c r="H24" i="6"/>
  <c r="J25" i="6"/>
  <c r="I34" i="6"/>
  <c r="K39" i="6"/>
  <c r="I44" i="6"/>
  <c r="C8" i="6"/>
  <c r="J9" i="6"/>
  <c r="G11" i="6"/>
  <c r="K13" i="6"/>
  <c r="H16" i="6"/>
  <c r="G27" i="6"/>
  <c r="H10" i="6"/>
  <c r="I12" i="6"/>
  <c r="G15" i="6"/>
  <c r="J17" i="6"/>
  <c r="G23" i="6"/>
  <c r="I24" i="6"/>
  <c r="K25" i="6"/>
  <c r="H28" i="6"/>
  <c r="G29" i="6"/>
  <c r="G30" i="6"/>
  <c r="J31" i="6"/>
  <c r="G33" i="6"/>
  <c r="J34" i="6"/>
  <c r="J41" i="6"/>
  <c r="J44" i="6"/>
  <c r="G7" i="6"/>
  <c r="D8" i="6"/>
  <c r="B9" i="6"/>
  <c r="K9" i="6"/>
  <c r="I10" i="6"/>
  <c r="H11" i="6"/>
  <c r="J12" i="6"/>
  <c r="H15" i="6"/>
  <c r="I16" i="6"/>
  <c r="K17" i="6"/>
  <c r="H23" i="6"/>
  <c r="J24" i="6"/>
  <c r="I27" i="6"/>
  <c r="I28" i="6"/>
  <c r="H29" i="6"/>
  <c r="H30" i="6"/>
  <c r="K31" i="6"/>
  <c r="H33" i="6"/>
  <c r="K34" i="6"/>
  <c r="K41" i="6"/>
  <c r="K44" i="6"/>
  <c r="G22" i="6"/>
  <c r="I23" i="6"/>
  <c r="K24" i="6"/>
  <c r="H26" i="6"/>
  <c r="J27" i="6"/>
  <c r="J28" i="6"/>
  <c r="I29" i="6"/>
  <c r="I30" i="6"/>
  <c r="I33" i="6"/>
  <c r="H7" i="6"/>
  <c r="C9" i="6"/>
  <c r="J10" i="6"/>
  <c r="I11" i="6"/>
  <c r="K12" i="6"/>
  <c r="G14" i="6"/>
  <c r="I15" i="6"/>
  <c r="J16" i="6"/>
  <c r="I7" i="6"/>
  <c r="G8" i="6"/>
  <c r="D9" i="6"/>
  <c r="B10" i="6"/>
  <c r="K10" i="6"/>
  <c r="J11" i="6"/>
  <c r="H14" i="6"/>
  <c r="J15" i="6"/>
  <c r="K16" i="6"/>
  <c r="H22" i="6"/>
  <c r="J23" i="6"/>
  <c r="I26" i="6"/>
  <c r="K27" i="6"/>
  <c r="K28" i="6"/>
  <c r="J29" i="6"/>
  <c r="J30" i="6"/>
  <c r="G32" i="6"/>
  <c r="J33" i="6"/>
  <c r="H35" i="6"/>
  <c r="J40" i="6"/>
  <c r="J43" i="6"/>
  <c r="G42" i="6"/>
  <c r="I43" i="6"/>
  <c r="B19" i="6"/>
  <c r="I40" i="6" l="1"/>
  <c r="D7" i="6"/>
  <c r="G35" i="6"/>
  <c r="B11" i="6"/>
  <c r="H42" i="6"/>
  <c r="J22" i="6"/>
  <c r="J26" i="6"/>
  <c r="C11" i="6"/>
  <c r="G40" i="6"/>
  <c r="K40" i="6"/>
  <c r="H13" i="6"/>
  <c r="H8" i="6"/>
  <c r="J42" i="6"/>
  <c r="J45" i="6" s="1"/>
  <c r="H17" i="6"/>
  <c r="I41" i="6"/>
  <c r="I35" i="6"/>
  <c r="I8" i="6"/>
  <c r="I14" i="6"/>
  <c r="I18" i="6" s="1"/>
  <c r="G16" i="6"/>
  <c r="G41" i="6"/>
  <c r="K42" i="6"/>
  <c r="J7" i="6"/>
  <c r="J18" i="6" s="1"/>
  <c r="J14" i="6"/>
  <c r="K23" i="6"/>
  <c r="K26" i="6"/>
  <c r="K35" i="6"/>
  <c r="G44" i="6"/>
  <c r="I42" i="6"/>
  <c r="K30" i="6"/>
  <c r="K7" i="6"/>
  <c r="K11" i="6"/>
  <c r="K15" i="6"/>
  <c r="H43" i="6"/>
  <c r="B30" i="6"/>
  <c r="C30" i="6" s="1"/>
  <c r="D30" i="6" s="1"/>
  <c r="K32" i="6"/>
  <c r="J35" i="6"/>
  <c r="K29" i="6"/>
  <c r="H44" i="6"/>
  <c r="B27" i="6"/>
  <c r="I36" i="6"/>
  <c r="H41" i="6"/>
  <c r="H9" i="6"/>
  <c r="K33" i="6"/>
  <c r="J32" i="6"/>
  <c r="J36" i="6" s="1"/>
  <c r="K43" i="6"/>
  <c r="B28" i="6"/>
  <c r="B18" i="6"/>
  <c r="B21" i="6" s="1"/>
  <c r="B22" i="6" s="1"/>
  <c r="K45" i="6" l="1"/>
  <c r="H45" i="6"/>
  <c r="K36" i="6"/>
  <c r="C28" i="6"/>
  <c r="C29" i="6"/>
  <c r="D29" i="6" s="1"/>
  <c r="D28" i="6"/>
  <c r="H36" i="6"/>
  <c r="H18" i="6"/>
  <c r="D11" i="6"/>
  <c r="K18" i="6"/>
  <c r="I45" i="6"/>
  <c r="G43" i="6"/>
  <c r="G45" i="6" s="1"/>
  <c r="G18" i="6" l="1"/>
  <c r="G36" i="6"/>
</calcChain>
</file>

<file path=xl/sharedStrings.xml><?xml version="1.0" encoding="utf-8"?>
<sst xmlns="http://schemas.openxmlformats.org/spreadsheetml/2006/main" count="418" uniqueCount="121">
  <si>
    <t>Suivi patrimonial familial (KISS) — Mode d’emploi</t>
  </si>
  <si>
    <t>Objectif : saisir une photo (snapshot) du patrimoine à fréquence mensuelle ou trimestrielle, et obtenir automatiquement une synthèse.</t>
  </si>
  <si>
    <t>1) Onglet POSITIONS :</t>
  </si>
  <si>
    <t>Une ligne = une enveloppe à une date (valorisation + dette éventuelle).</t>
  </si>
  <si>
    <t>Pour une date donnée, renseignez toutes les enveloppes que vous voulez inclure dans le total.</t>
  </si>
  <si>
    <t>2) Onglet FLUX (optionnel) :</t>
  </si>
  <si>
    <t>Ne saisis que des flux EXTERNES (apports / sorties du patrimoine global).</t>
  </si>
  <si>
    <t>Ne saisis pas les virements internes (compte courant -&gt; livret, arbitrages, etc.).</t>
  </si>
  <si>
    <t>Convention signe : + = augmente le patrimoine (apport), - = diminue (sortie).</t>
  </si>
  <si>
    <t>3) Onglet SYNTHESE :</t>
  </si>
  <si>
    <t>Totaux par personne et famille à la dernière date saisie.</t>
  </si>
  <si>
    <t>Historique : renseignez une liste de dates (colonne A), la courbe se met à jour automatiquement.</t>
  </si>
  <si>
    <t>Propriétaires</t>
  </si>
  <si>
    <t>Catégories</t>
  </si>
  <si>
    <t>Enveloppes</t>
  </si>
  <si>
    <t>Types de flux</t>
  </si>
  <si>
    <t>Liquidité (délai)</t>
  </si>
  <si>
    <t>Friction</t>
  </si>
  <si>
    <t>Liquidité</t>
  </si>
  <si>
    <t>% Mobilisable</t>
  </si>
  <si>
    <t>Paul</t>
  </si>
  <si>
    <t>Cash &amp; dépôts</t>
  </si>
  <si>
    <t>Compte courant</t>
  </si>
  <si>
    <t>Versement</t>
  </si>
  <si>
    <t>J0–J1</t>
  </si>
  <si>
    <t>Aucune</t>
  </si>
  <si>
    <t>Claire</t>
  </si>
  <si>
    <t>Monétaire</t>
  </si>
  <si>
    <t>Livret A</t>
  </si>
  <si>
    <t>Retrait</t>
  </si>
  <si>
    <t>J2–J7</t>
  </si>
  <si>
    <t>Fiscale</t>
  </si>
  <si>
    <t>Léo</t>
  </si>
  <si>
    <t>Obligations</t>
  </si>
  <si>
    <t>LDDS</t>
  </si>
  <si>
    <t>Dividende/Intérêt</t>
  </si>
  <si>
    <t>J8–J30</t>
  </si>
  <si>
    <t>Frais</t>
  </si>
  <si>
    <t>Zoé</t>
  </si>
  <si>
    <t>Actions</t>
  </si>
  <si>
    <t>Livret Bourso+</t>
  </si>
  <si>
    <t>30J+</t>
  </si>
  <si>
    <t>Décote probable</t>
  </si>
  <si>
    <t>Immobilier</t>
  </si>
  <si>
    <t>PEL/CEL</t>
  </si>
  <si>
    <t>Autre</t>
  </si>
  <si>
    <t>Bloqué</t>
  </si>
  <si>
    <t>Mixte</t>
  </si>
  <si>
    <t>SCPI</t>
  </si>
  <si>
    <t>PEA</t>
  </si>
  <si>
    <t>Fond Euro</t>
  </si>
  <si>
    <t>CTO</t>
  </si>
  <si>
    <t>Produits Structurés</t>
  </si>
  <si>
    <t>Assurance-vie</t>
  </si>
  <si>
    <t>Crypto</t>
  </si>
  <si>
    <t>PER</t>
  </si>
  <si>
    <t>Objets de valeur</t>
  </si>
  <si>
    <t>SCI</t>
  </si>
  <si>
    <t>Dette</t>
  </si>
  <si>
    <t>Date</t>
  </si>
  <si>
    <t>Propriétaire</t>
  </si>
  <si>
    <t>Catégorie</t>
  </si>
  <si>
    <t>Enveloppe</t>
  </si>
  <si>
    <t>Établissement</t>
  </si>
  <si>
    <t>Valeur (€)</t>
  </si>
  <si>
    <t>Dette restante (€)</t>
  </si>
  <si>
    <t>Valeur nette (€)</t>
  </si>
  <si>
    <t>Notes</t>
  </si>
  <si>
    <t>Entité (si indivision/SCI)</t>
  </si>
  <si>
    <t>% propriété (0-1)</t>
  </si>
  <si>
    <t>% dette (0-1)</t>
  </si>
  <si>
    <t>Mode (auto)</t>
  </si>
  <si>
    <t>Actif brut attribué (€)</t>
  </si>
  <si>
    <t>Dette attribuée (€)</t>
  </si>
  <si>
    <t>Valeur nette attribuée (€)</t>
  </si>
  <si>
    <t>Mobilisable (%)</t>
  </si>
  <si>
    <t>Valeur mobilisable (€)</t>
  </si>
  <si>
    <t>Type</t>
  </si>
  <si>
    <t>Montant (€) (signé)</t>
  </si>
  <si>
    <t>Entité</t>
  </si>
  <si>
    <t>Mode de valorisation</t>
  </si>
  <si>
    <t>Actif brut (€)</t>
  </si>
  <si>
    <t>Dette (€)</t>
  </si>
  <si>
    <t>Actif net entité (€)</t>
  </si>
  <si>
    <t>Commentaire</t>
  </si>
  <si>
    <t>Note : pour indivision/SCI, renseigne 'Entité' et '% détention' dans Positions. Les totaux utilisent 'Valeur attribuée'.</t>
  </si>
  <si>
    <t>Dernière date saisie :</t>
  </si>
  <si>
    <t>Totaux à la dernière date</t>
  </si>
  <si>
    <t>Répartition par catégorie (net)</t>
  </si>
  <si>
    <t>Actifs (€)</t>
  </si>
  <si>
    <t>Dettes (€)</t>
  </si>
  <si>
    <t>Net (€)</t>
  </si>
  <si>
    <t>TOTAL FAMILLE</t>
  </si>
  <si>
    <t>Variation &amp; flux (lecture “rentabilité” simple)</t>
  </si>
  <si>
    <t>Date début</t>
  </si>
  <si>
    <t>Date fin</t>
  </si>
  <si>
    <t>Info</t>
  </si>
  <si>
    <t>Modifiez F20 si besoin.</t>
  </si>
  <si>
    <t>Net début (€)</t>
  </si>
  <si>
    <t>Somme des valeurs nettes à la date début.</t>
  </si>
  <si>
    <t>Total</t>
  </si>
  <si>
    <t>Net fin (€)</t>
  </si>
  <si>
    <t>Somme des valeurs nettes à la date fin.</t>
  </si>
  <si>
    <t>Flux net (€)</t>
  </si>
  <si>
    <t>Somme des flux signés sur la période.</t>
  </si>
  <si>
    <t>Répartition par enveloppe (net)</t>
  </si>
  <si>
    <t>Variation nette (€)</t>
  </si>
  <si>
    <t>Net fin - net début.</t>
  </si>
  <si>
    <t>Gain/perte hors flux (€)</t>
  </si>
  <si>
    <t>Variation - flux (approx perf).</t>
  </si>
  <si>
    <t>Historique (renseignez les dates en colonne A)</t>
  </si>
  <si>
    <t>Net famille (€)</t>
  </si>
  <si>
    <t>Δ période (€)</t>
  </si>
  <si>
    <t>% Δ (approx.)</t>
  </si>
  <si>
    <t>Répartition mobilisable par liquidité (net)</t>
  </si>
  <si>
    <t>Mobilisable (€)</t>
  </si>
  <si>
    <t>TOTAL</t>
  </si>
  <si>
    <t>Sum - Valeur nette attribuée (€)</t>
  </si>
  <si>
    <t>Total général</t>
  </si>
  <si>
    <t>(Tous)</t>
  </si>
  <si>
    <t>(Plusieurs éléments)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</si>
</sst>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\ %"/>
    <numFmt numFmtId="165" formatCode="#,##0\ [$€-40C];[Red]\-#,##0\ [$€-40C]"/>
    <numFmt numFmtId="166" formatCode="0.00\ %"/>
    <numFmt numFmtId="167" formatCode="yyyy\-mm\-dd"/>
    <numFmt numFmtId="168" formatCode="&quot;€ &quot;#,##0;[Red]&quot;(€ &quot;#,##0\);\-"/>
    <numFmt numFmtId="169" formatCode="0.0%"/>
  </numFmts>
  <fonts count="12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theme="1"/>
      <name val="Calibri"/>
      <family val="2"/>
      <charset val="1"/>
    </font>
    <font>
      <b/>
      <sz val="16"/>
      <color theme="1"/>
      <name val="Cambria"/>
      <family val="1"/>
    </font>
    <font>
      <i/>
      <sz val="10"/>
      <color theme="1"/>
      <name val="Cambria"/>
      <family val="1"/>
    </font>
    <font>
      <b/>
      <sz val="11"/>
      <color theme="1"/>
      <name val="Arial"/>
      <family val="2"/>
      <charset val="1"/>
    </font>
    <font>
      <i/>
      <sz val="11"/>
      <color theme="1"/>
      <name val="Cambria"/>
      <family val="1"/>
    </font>
    <font>
      <sz val="11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color theme="1"/>
      <name val="Cambria"/>
      <family val="1"/>
    </font>
    <font>
      <i/>
      <sz val="10"/>
      <color theme="1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9E1F2"/>
      </patternFill>
    </fill>
    <fill>
      <patternFill patternType="solid">
        <fgColor rgb="FF1F4E79"/>
        <bgColor rgb="FF003366"/>
      </patternFill>
    </fill>
    <fill>
      <patternFill patternType="solid">
        <fgColor rgb="FFD9E1F2"/>
        <bgColor rgb="FFDDDDD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9">
    <xf numFmtId="0" fontId="0" fillId="0" borderId="0"/>
    <xf numFmtId="0" fontId="1" fillId="2" borderId="0" applyBorder="0" applyProtection="0"/>
    <xf numFmtId="0" fontId="2" fillId="0" borderId="0"/>
    <xf numFmtId="0" fontId="11" fillId="0" borderId="0" applyBorder="0" applyProtection="0">
      <alignment horizontal="left"/>
    </xf>
    <xf numFmtId="0" fontId="11" fillId="0" borderId="0" applyBorder="0" applyProtection="0"/>
    <xf numFmtId="0" fontId="11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1" fillId="0" borderId="0" applyBorder="0" applyProtection="0"/>
  </cellStyleXfs>
  <cellXfs count="45">
    <xf numFmtId="0" fontId="0" fillId="0" borderId="0" xfId="0"/>
    <xf numFmtId="0" fontId="3" fillId="0" borderId="0" xfId="2" applyFont="1"/>
    <xf numFmtId="0" fontId="5" fillId="4" borderId="0" xfId="2" applyFont="1" applyFill="1"/>
    <xf numFmtId="0" fontId="5" fillId="0" borderId="0" xfId="2" applyFont="1"/>
    <xf numFmtId="0" fontId="4" fillId="0" borderId="0" xfId="2" applyFont="1" applyAlignment="1">
      <alignment horizontal="left" vertical="top" wrapText="1"/>
    </xf>
    <xf numFmtId="0" fontId="2" fillId="0" borderId="0" xfId="2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2" applyFont="1"/>
    <xf numFmtId="0" fontId="6" fillId="0" borderId="0" xfId="2" applyFont="1"/>
    <xf numFmtId="164" fontId="0" fillId="0" borderId="0" xfId="0" applyNumberFormat="1"/>
    <xf numFmtId="0" fontId="7" fillId="0" borderId="0" xfId="0" applyFon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8" fillId="3" borderId="0" xfId="2" applyFont="1" applyFill="1" applyAlignment="1">
      <alignment vertical="center" wrapText="1"/>
    </xf>
    <xf numFmtId="165" fontId="8" fillId="3" borderId="0" xfId="2" applyNumberFormat="1" applyFont="1" applyFill="1" applyAlignment="1">
      <alignment vertical="center" wrapText="1"/>
    </xf>
    <xf numFmtId="166" fontId="8" fillId="3" borderId="0" xfId="2" applyNumberFormat="1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167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165" fontId="7" fillId="0" borderId="0" xfId="2" applyNumberFormat="1" applyFont="1" applyAlignment="1">
      <alignment vertical="center"/>
    </xf>
    <xf numFmtId="0" fontId="9" fillId="0" borderId="0" xfId="2" applyFont="1" applyAlignment="1">
      <alignment vertical="center"/>
    </xf>
    <xf numFmtId="167" fontId="9" fillId="0" borderId="0" xfId="2" applyNumberFormat="1" applyFont="1" applyAlignment="1">
      <alignment vertical="center"/>
    </xf>
    <xf numFmtId="165" fontId="9" fillId="0" borderId="0" xfId="2" applyNumberFormat="1" applyFont="1" applyAlignment="1">
      <alignment vertical="center"/>
    </xf>
    <xf numFmtId="0" fontId="8" fillId="3" borderId="0" xfId="2" applyFont="1" applyFill="1" applyAlignment="1">
      <alignment horizontal="center" vertical="center" wrapText="1"/>
    </xf>
    <xf numFmtId="168" fontId="7" fillId="0" borderId="0" xfId="2" applyNumberFormat="1" applyFont="1" applyAlignment="1">
      <alignment vertical="center"/>
    </xf>
    <xf numFmtId="0" fontId="5" fillId="0" borderId="1" xfId="2" applyFont="1" applyBorder="1"/>
    <xf numFmtId="167" fontId="5" fillId="0" borderId="1" xfId="2" applyNumberFormat="1" applyFont="1" applyBorder="1"/>
    <xf numFmtId="0" fontId="10" fillId="0" borderId="1" xfId="2" applyFont="1" applyBorder="1"/>
    <xf numFmtId="0" fontId="7" fillId="0" borderId="1" xfId="2" applyFont="1" applyBorder="1"/>
    <xf numFmtId="0" fontId="8" fillId="3" borderId="1" xfId="2" applyFont="1" applyFill="1" applyBorder="1" applyAlignment="1">
      <alignment horizontal="center" vertical="center" wrapText="1"/>
    </xf>
    <xf numFmtId="165" fontId="7" fillId="0" borderId="1" xfId="2" applyNumberFormat="1" applyFont="1" applyBorder="1"/>
    <xf numFmtId="0" fontId="5" fillId="2" borderId="1" xfId="1" applyFont="1" applyBorder="1" applyProtection="1"/>
    <xf numFmtId="165" fontId="5" fillId="2" borderId="1" xfId="1" applyNumberFormat="1" applyFont="1" applyBorder="1" applyProtection="1"/>
    <xf numFmtId="167" fontId="7" fillId="0" borderId="1" xfId="2" applyNumberFormat="1" applyFont="1" applyBorder="1"/>
    <xf numFmtId="168" fontId="7" fillId="0" borderId="1" xfId="2" applyNumberFormat="1" applyFont="1" applyBorder="1"/>
    <xf numFmtId="0" fontId="1" fillId="2" borderId="0" xfId="1" applyBorder="1" applyProtection="1"/>
    <xf numFmtId="165" fontId="1" fillId="2" borderId="0" xfId="1" applyNumberFormat="1" applyBorder="1" applyProtection="1"/>
    <xf numFmtId="169" fontId="7" fillId="0" borderId="1" xfId="2" applyNumberFormat="1" applyFont="1" applyBorder="1"/>
    <xf numFmtId="0" fontId="5" fillId="4" borderId="0" xfId="0" applyFont="1" applyFill="1"/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5" fontId="7" fillId="0" borderId="1" xfId="0" applyNumberFormat="1" applyFont="1" applyBorder="1"/>
    <xf numFmtId="49" fontId="7" fillId="0" borderId="1" xfId="0" applyNumberFormat="1" applyFont="1" applyBorder="1"/>
    <xf numFmtId="0" fontId="0" fillId="0" borderId="0" xfId="0" pivotButton="1"/>
  </cellXfs>
  <cellStyles count="9">
    <cellStyle name="Accent 3 1" xfId="1" xr:uid="{00000000-0005-0000-0000-000006000000}"/>
    <cellStyle name="Normal" xfId="0" builtinId="0"/>
    <cellStyle name="Normal 2" xfId="2" xr:uid="{00000000-0005-0000-0000-000007000000}"/>
    <cellStyle name="Pivot Table Category" xfId="3" xr:uid="{00000000-0005-0000-0000-000008000000}"/>
    <cellStyle name="Pivot Table Corner" xfId="4" xr:uid="{00000000-0005-0000-0000-000009000000}"/>
    <cellStyle name="Pivot Table Field" xfId="5" xr:uid="{00000000-0005-0000-0000-00000A000000}"/>
    <cellStyle name="Pivot Table Result" xfId="6" xr:uid="{00000000-0005-0000-0000-00000B000000}"/>
    <cellStyle name="Pivot Table Title" xfId="7" xr:uid="{00000000-0005-0000-0000-00000C000000}"/>
    <cellStyle name="Pivot Table Value" xfId="8" xr:uid="{00000000-0005-0000-0000-00000D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Martin" refreshedDate="46118.898372453703" createdVersion="3" refreshedVersion="8" recordCount="300" xr:uid="{00000000-000A-0000-FFFF-FFFF01000000}">
  <cacheSource type="worksheet">
    <worksheetSource ref="A1:T1048576" sheet="Positions"/>
  </cacheSource>
  <cacheFields count="20">
    <cacheField name="Date" numFmtId="0">
      <sharedItems containsNonDate="0" containsDate="1" containsString="0" containsBlank="1" minDate="2026-02-16T00:00:00" maxDate="2026-03-17T00:00:00" count="5">
        <d v="2026-02-16T00:00:00"/>
        <d v="2026-02-17T00:00:00"/>
        <d v="2026-03-03T00:00:00"/>
        <d v="2026-03-16T00:00:00"/>
        <m/>
      </sharedItems>
    </cacheField>
    <cacheField name="Propriétaire" numFmtId="0">
      <sharedItems containsBlank="1" count="5">
        <s v="Paul"/>
        <s v="Claire"/>
        <s v="Léo"/>
        <s v="Zoé"/>
        <m/>
      </sharedItems>
    </cacheField>
    <cacheField name="Catégorie" numFmtId="0">
      <sharedItems containsBlank="1" count="11">
        <s v="Cash &amp; dépôts"/>
        <s v="Actions"/>
        <s v="Fond Euro"/>
        <s v="Monétaire"/>
        <s v="Crypto"/>
        <s v="Produits Structurés"/>
        <s v="Immobilier"/>
        <s v="SCPI"/>
        <s v="Objets de valeur"/>
        <s v="Autre"/>
        <m/>
      </sharedItems>
    </cacheField>
    <cacheField name="Enveloppe" numFmtId="0">
      <sharedItems containsNonDate="0" containsBlank="1" count="14">
        <m/>
        <s v="Assurance-vie" u="1"/>
        <s v="Autre" u="1"/>
        <s v="Compte courant" u="1"/>
        <s v="Crypto" u="1"/>
        <s v="CTO" u="1"/>
        <s v="Immobilier" u="1"/>
        <s v="LDDS" u="1"/>
        <s v="Livret A" u="1"/>
        <s v="Livret Bourso+" u="1"/>
        <s v="PEA" u="1"/>
        <s v="PEL/CEL" u="1"/>
        <s v="PER" u="1"/>
        <s v="SCI" u="1"/>
      </sharedItems>
    </cacheField>
    <cacheField name="Établissement" numFmtId="0">
      <sharedItems containsNonDate="0" containsBlank="1" count="7">
        <m/>
        <s v="Binance" u="1"/>
        <s v="Boursorama" u="1"/>
        <s v="CA31" u="1"/>
        <s v="CEMP" u="1"/>
        <s v="Generali" u="1"/>
        <s v="Lucya Cardif" u="1"/>
      </sharedItems>
    </cacheField>
    <cacheField name="Valeur (€)" numFmtId="165">
      <sharedItems containsNonDate="0" containsString="0" containsBlank="1"/>
    </cacheField>
    <cacheField name="Dette restante (€)" numFmtId="165">
      <sharedItems containsNonDate="0" containsString="0" containsBlank="1"/>
    </cacheField>
    <cacheField name="Valeur nette (€)" numFmtId="165">
      <sharedItems containsNonDate="0" containsString="0" containsBlank="1"/>
    </cacheField>
    <cacheField name="Notes" numFmtId="0">
      <sharedItems containsNonDate="0" containsString="0" containsBlank="1"/>
    </cacheField>
    <cacheField name="Entité (si indivision/SCI)" numFmtId="0">
      <sharedItems containsNonDate="0" containsBlank="1" count="4">
        <m/>
        <s v="Adrilois" u="1"/>
        <s v="Résidence principale" u="1"/>
        <s v="Terrain Saint-Griède" u="1"/>
      </sharedItems>
    </cacheField>
    <cacheField name="% propriété (0-1)" numFmtId="166">
      <sharedItems containsNonDate="0" containsString="0" containsBlank="1"/>
    </cacheField>
    <cacheField name="% dette (0-1)" numFmtId="166">
      <sharedItems containsNonDate="0" containsString="0" containsBlank="1"/>
    </cacheField>
    <cacheField name="Mode (auto)" numFmtId="0">
      <sharedItems containsNonDate="0" containsString="0" containsBlank="1"/>
    </cacheField>
    <cacheField name="Actif brut attribué (€)" numFmtId="165">
      <sharedItems containsNonDate="0" containsString="0" containsBlank="1"/>
    </cacheField>
    <cacheField name="Dette attribuée (€)" numFmtId="165">
      <sharedItems containsNonDate="0" containsString="0" containsBlank="1"/>
    </cacheField>
    <cacheField name="Valeur nette attribuée (€)" numFmtId="165">
      <sharedItems containsNonDate="0" containsString="0" containsBlank="1"/>
    </cacheField>
    <cacheField name="Liquidité (délai)" numFmtId="0">
      <sharedItems containsNonDate="0" containsBlank="1" count="6">
        <m/>
        <s v="30J+" u="1"/>
        <s v="Bloqué" u="1"/>
        <s v="J0–J1" u="1"/>
        <s v="J2–J7" u="1"/>
        <s v="J8–J30" u="1"/>
      </sharedItems>
    </cacheField>
    <cacheField name="Mobilisable (%)" numFmtId="0">
      <sharedItems containsNonDate="0" containsString="0" containsBlank="1"/>
    </cacheField>
    <cacheField name="Friction" numFmtId="0">
      <sharedItems containsNonDate="0" containsString="0" containsBlank="1"/>
    </cacheField>
    <cacheField name="Valeur mobilisable (€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x v="0"/>
    <x v="0"/>
    <m/>
    <m/>
    <m/>
    <m/>
    <x v="0"/>
    <m/>
    <m/>
    <m/>
    <m/>
    <m/>
    <m/>
    <x v="0"/>
    <m/>
    <m/>
    <m/>
  </r>
  <r>
    <x v="0"/>
    <x v="0"/>
    <x v="0"/>
    <x v="0"/>
    <x v="0"/>
    <m/>
    <m/>
    <m/>
    <m/>
    <x v="0"/>
    <m/>
    <m/>
    <m/>
    <m/>
    <m/>
    <m/>
    <x v="0"/>
    <m/>
    <m/>
    <m/>
  </r>
  <r>
    <x v="0"/>
    <x v="0"/>
    <x v="0"/>
    <x v="0"/>
    <x v="0"/>
    <m/>
    <m/>
    <m/>
    <m/>
    <x v="0"/>
    <m/>
    <m/>
    <m/>
    <m/>
    <m/>
    <m/>
    <x v="0"/>
    <m/>
    <m/>
    <m/>
  </r>
  <r>
    <x v="0"/>
    <x v="0"/>
    <x v="1"/>
    <x v="0"/>
    <x v="0"/>
    <m/>
    <m/>
    <m/>
    <m/>
    <x v="0"/>
    <m/>
    <m/>
    <m/>
    <m/>
    <m/>
    <m/>
    <x v="0"/>
    <m/>
    <m/>
    <m/>
  </r>
  <r>
    <x v="0"/>
    <x v="0"/>
    <x v="2"/>
    <x v="0"/>
    <x v="0"/>
    <m/>
    <m/>
    <m/>
    <m/>
    <x v="0"/>
    <m/>
    <m/>
    <m/>
    <m/>
    <m/>
    <m/>
    <x v="0"/>
    <m/>
    <m/>
    <m/>
  </r>
  <r>
    <x v="0"/>
    <x v="0"/>
    <x v="3"/>
    <x v="0"/>
    <x v="0"/>
    <m/>
    <m/>
    <m/>
    <m/>
    <x v="0"/>
    <m/>
    <m/>
    <m/>
    <m/>
    <m/>
    <m/>
    <x v="0"/>
    <m/>
    <m/>
    <m/>
  </r>
  <r>
    <x v="0"/>
    <x v="0"/>
    <x v="1"/>
    <x v="0"/>
    <x v="0"/>
    <m/>
    <m/>
    <m/>
    <m/>
    <x v="0"/>
    <m/>
    <m/>
    <m/>
    <m/>
    <m/>
    <m/>
    <x v="0"/>
    <m/>
    <m/>
    <m/>
  </r>
  <r>
    <x v="0"/>
    <x v="0"/>
    <x v="1"/>
    <x v="0"/>
    <x v="0"/>
    <m/>
    <m/>
    <m/>
    <m/>
    <x v="0"/>
    <m/>
    <m/>
    <m/>
    <m/>
    <m/>
    <m/>
    <x v="0"/>
    <m/>
    <m/>
    <m/>
  </r>
  <r>
    <x v="0"/>
    <x v="0"/>
    <x v="1"/>
    <x v="0"/>
    <x v="0"/>
    <m/>
    <m/>
    <m/>
    <m/>
    <x v="0"/>
    <m/>
    <m/>
    <m/>
    <m/>
    <m/>
    <m/>
    <x v="0"/>
    <m/>
    <m/>
    <m/>
  </r>
  <r>
    <x v="0"/>
    <x v="0"/>
    <x v="2"/>
    <x v="0"/>
    <x v="0"/>
    <m/>
    <m/>
    <m/>
    <m/>
    <x v="0"/>
    <m/>
    <m/>
    <m/>
    <m/>
    <m/>
    <m/>
    <x v="0"/>
    <m/>
    <m/>
    <m/>
  </r>
  <r>
    <x v="0"/>
    <x v="0"/>
    <x v="4"/>
    <x v="0"/>
    <x v="0"/>
    <m/>
    <m/>
    <m/>
    <m/>
    <x v="0"/>
    <m/>
    <m/>
    <m/>
    <m/>
    <m/>
    <m/>
    <x v="0"/>
    <m/>
    <m/>
    <m/>
  </r>
  <r>
    <x v="0"/>
    <x v="0"/>
    <x v="5"/>
    <x v="0"/>
    <x v="0"/>
    <m/>
    <m/>
    <m/>
    <m/>
    <x v="0"/>
    <m/>
    <m/>
    <m/>
    <m/>
    <m/>
    <m/>
    <x v="0"/>
    <m/>
    <m/>
    <m/>
  </r>
  <r>
    <x v="0"/>
    <x v="1"/>
    <x v="0"/>
    <x v="0"/>
    <x v="0"/>
    <m/>
    <m/>
    <m/>
    <m/>
    <x v="0"/>
    <m/>
    <m/>
    <m/>
    <m/>
    <m/>
    <m/>
    <x v="0"/>
    <m/>
    <m/>
    <m/>
  </r>
  <r>
    <x v="0"/>
    <x v="1"/>
    <x v="0"/>
    <x v="0"/>
    <x v="0"/>
    <m/>
    <m/>
    <m/>
    <m/>
    <x v="0"/>
    <m/>
    <m/>
    <m/>
    <m/>
    <m/>
    <m/>
    <x v="0"/>
    <m/>
    <m/>
    <m/>
  </r>
  <r>
    <x v="0"/>
    <x v="1"/>
    <x v="0"/>
    <x v="0"/>
    <x v="0"/>
    <m/>
    <m/>
    <m/>
    <m/>
    <x v="0"/>
    <m/>
    <m/>
    <m/>
    <m/>
    <m/>
    <m/>
    <x v="0"/>
    <m/>
    <m/>
    <m/>
  </r>
  <r>
    <x v="0"/>
    <x v="1"/>
    <x v="0"/>
    <x v="0"/>
    <x v="0"/>
    <m/>
    <m/>
    <m/>
    <m/>
    <x v="0"/>
    <m/>
    <m/>
    <m/>
    <m/>
    <m/>
    <m/>
    <x v="0"/>
    <m/>
    <m/>
    <m/>
  </r>
  <r>
    <x v="0"/>
    <x v="1"/>
    <x v="0"/>
    <x v="0"/>
    <x v="0"/>
    <m/>
    <m/>
    <m/>
    <m/>
    <x v="0"/>
    <m/>
    <m/>
    <m/>
    <m/>
    <m/>
    <m/>
    <x v="0"/>
    <m/>
    <m/>
    <m/>
  </r>
  <r>
    <x v="0"/>
    <x v="1"/>
    <x v="2"/>
    <x v="0"/>
    <x v="0"/>
    <m/>
    <m/>
    <m/>
    <m/>
    <x v="0"/>
    <m/>
    <m/>
    <m/>
    <m/>
    <m/>
    <m/>
    <x v="0"/>
    <m/>
    <m/>
    <m/>
  </r>
  <r>
    <x v="0"/>
    <x v="1"/>
    <x v="5"/>
    <x v="0"/>
    <x v="0"/>
    <m/>
    <m/>
    <m/>
    <m/>
    <x v="0"/>
    <m/>
    <m/>
    <m/>
    <m/>
    <m/>
    <m/>
    <x v="0"/>
    <m/>
    <m/>
    <m/>
  </r>
  <r>
    <x v="0"/>
    <x v="1"/>
    <x v="0"/>
    <x v="0"/>
    <x v="0"/>
    <m/>
    <m/>
    <m/>
    <m/>
    <x v="0"/>
    <m/>
    <m/>
    <m/>
    <m/>
    <m/>
    <m/>
    <x v="0"/>
    <m/>
    <m/>
    <m/>
  </r>
  <r>
    <x v="0"/>
    <x v="1"/>
    <x v="6"/>
    <x v="0"/>
    <x v="0"/>
    <m/>
    <m/>
    <m/>
    <m/>
    <x v="0"/>
    <m/>
    <m/>
    <m/>
    <m/>
    <m/>
    <m/>
    <x v="0"/>
    <m/>
    <m/>
    <m/>
  </r>
  <r>
    <x v="0"/>
    <x v="0"/>
    <x v="6"/>
    <x v="0"/>
    <x v="0"/>
    <m/>
    <m/>
    <m/>
    <m/>
    <x v="0"/>
    <m/>
    <m/>
    <m/>
    <m/>
    <m/>
    <m/>
    <x v="0"/>
    <m/>
    <m/>
    <m/>
  </r>
  <r>
    <x v="0"/>
    <x v="0"/>
    <x v="7"/>
    <x v="0"/>
    <x v="0"/>
    <m/>
    <m/>
    <m/>
    <m/>
    <x v="0"/>
    <m/>
    <m/>
    <m/>
    <m/>
    <m/>
    <m/>
    <x v="0"/>
    <m/>
    <m/>
    <m/>
  </r>
  <r>
    <x v="0"/>
    <x v="1"/>
    <x v="7"/>
    <x v="0"/>
    <x v="0"/>
    <m/>
    <m/>
    <m/>
    <m/>
    <x v="0"/>
    <m/>
    <m/>
    <m/>
    <m/>
    <m/>
    <m/>
    <x v="0"/>
    <m/>
    <m/>
    <m/>
  </r>
  <r>
    <x v="0"/>
    <x v="2"/>
    <x v="1"/>
    <x v="0"/>
    <x v="0"/>
    <m/>
    <m/>
    <m/>
    <m/>
    <x v="0"/>
    <m/>
    <m/>
    <m/>
    <m/>
    <m/>
    <m/>
    <x v="0"/>
    <m/>
    <m/>
    <m/>
  </r>
  <r>
    <x v="0"/>
    <x v="3"/>
    <x v="1"/>
    <x v="0"/>
    <x v="0"/>
    <m/>
    <m/>
    <m/>
    <m/>
    <x v="0"/>
    <m/>
    <m/>
    <m/>
    <m/>
    <m/>
    <m/>
    <x v="0"/>
    <m/>
    <m/>
    <m/>
  </r>
  <r>
    <x v="0"/>
    <x v="0"/>
    <x v="8"/>
    <x v="0"/>
    <x v="0"/>
    <m/>
    <m/>
    <m/>
    <m/>
    <x v="0"/>
    <m/>
    <m/>
    <m/>
    <m/>
    <m/>
    <m/>
    <x v="0"/>
    <m/>
    <m/>
    <m/>
  </r>
  <r>
    <x v="0"/>
    <x v="1"/>
    <x v="8"/>
    <x v="0"/>
    <x v="0"/>
    <m/>
    <m/>
    <m/>
    <m/>
    <x v="0"/>
    <m/>
    <m/>
    <m/>
    <m/>
    <m/>
    <m/>
    <x v="0"/>
    <m/>
    <m/>
    <m/>
  </r>
  <r>
    <x v="0"/>
    <x v="0"/>
    <x v="6"/>
    <x v="0"/>
    <x v="0"/>
    <m/>
    <m/>
    <m/>
    <m/>
    <x v="0"/>
    <m/>
    <m/>
    <m/>
    <m/>
    <m/>
    <m/>
    <x v="0"/>
    <m/>
    <m/>
    <m/>
  </r>
  <r>
    <x v="1"/>
    <x v="0"/>
    <x v="0"/>
    <x v="0"/>
    <x v="0"/>
    <m/>
    <m/>
    <m/>
    <m/>
    <x v="0"/>
    <m/>
    <m/>
    <m/>
    <m/>
    <m/>
    <m/>
    <x v="0"/>
    <m/>
    <m/>
    <m/>
  </r>
  <r>
    <x v="1"/>
    <x v="0"/>
    <x v="0"/>
    <x v="0"/>
    <x v="0"/>
    <m/>
    <m/>
    <m/>
    <m/>
    <x v="0"/>
    <m/>
    <m/>
    <m/>
    <m/>
    <m/>
    <m/>
    <x v="0"/>
    <m/>
    <m/>
    <m/>
  </r>
  <r>
    <x v="1"/>
    <x v="0"/>
    <x v="0"/>
    <x v="0"/>
    <x v="0"/>
    <m/>
    <m/>
    <m/>
    <m/>
    <x v="0"/>
    <m/>
    <m/>
    <m/>
    <m/>
    <m/>
    <m/>
    <x v="0"/>
    <m/>
    <m/>
    <m/>
  </r>
  <r>
    <x v="1"/>
    <x v="0"/>
    <x v="1"/>
    <x v="0"/>
    <x v="0"/>
    <m/>
    <m/>
    <m/>
    <m/>
    <x v="0"/>
    <m/>
    <m/>
    <m/>
    <m/>
    <m/>
    <m/>
    <x v="0"/>
    <m/>
    <m/>
    <m/>
  </r>
  <r>
    <x v="1"/>
    <x v="0"/>
    <x v="2"/>
    <x v="0"/>
    <x v="0"/>
    <m/>
    <m/>
    <m/>
    <m/>
    <x v="0"/>
    <m/>
    <m/>
    <m/>
    <m/>
    <m/>
    <m/>
    <x v="0"/>
    <m/>
    <m/>
    <m/>
  </r>
  <r>
    <x v="1"/>
    <x v="0"/>
    <x v="3"/>
    <x v="0"/>
    <x v="0"/>
    <m/>
    <m/>
    <m/>
    <m/>
    <x v="0"/>
    <m/>
    <m/>
    <m/>
    <m/>
    <m/>
    <m/>
    <x v="0"/>
    <m/>
    <m/>
    <m/>
  </r>
  <r>
    <x v="1"/>
    <x v="0"/>
    <x v="1"/>
    <x v="0"/>
    <x v="0"/>
    <m/>
    <m/>
    <m/>
    <m/>
    <x v="0"/>
    <m/>
    <m/>
    <m/>
    <m/>
    <m/>
    <m/>
    <x v="0"/>
    <m/>
    <m/>
    <m/>
  </r>
  <r>
    <x v="1"/>
    <x v="0"/>
    <x v="1"/>
    <x v="0"/>
    <x v="0"/>
    <m/>
    <m/>
    <m/>
    <m/>
    <x v="0"/>
    <m/>
    <m/>
    <m/>
    <m/>
    <m/>
    <m/>
    <x v="0"/>
    <m/>
    <m/>
    <m/>
  </r>
  <r>
    <x v="1"/>
    <x v="0"/>
    <x v="1"/>
    <x v="0"/>
    <x v="0"/>
    <m/>
    <m/>
    <m/>
    <m/>
    <x v="0"/>
    <m/>
    <m/>
    <m/>
    <m/>
    <m/>
    <m/>
    <x v="0"/>
    <m/>
    <m/>
    <m/>
  </r>
  <r>
    <x v="1"/>
    <x v="0"/>
    <x v="2"/>
    <x v="0"/>
    <x v="0"/>
    <m/>
    <m/>
    <m/>
    <m/>
    <x v="0"/>
    <m/>
    <m/>
    <m/>
    <m/>
    <m/>
    <m/>
    <x v="0"/>
    <m/>
    <m/>
    <m/>
  </r>
  <r>
    <x v="1"/>
    <x v="0"/>
    <x v="4"/>
    <x v="0"/>
    <x v="0"/>
    <m/>
    <m/>
    <m/>
    <m/>
    <x v="0"/>
    <m/>
    <m/>
    <m/>
    <m/>
    <m/>
    <m/>
    <x v="0"/>
    <m/>
    <m/>
    <m/>
  </r>
  <r>
    <x v="1"/>
    <x v="0"/>
    <x v="5"/>
    <x v="0"/>
    <x v="0"/>
    <m/>
    <m/>
    <m/>
    <m/>
    <x v="0"/>
    <m/>
    <m/>
    <m/>
    <m/>
    <m/>
    <m/>
    <x v="0"/>
    <m/>
    <m/>
    <m/>
  </r>
  <r>
    <x v="1"/>
    <x v="1"/>
    <x v="0"/>
    <x v="0"/>
    <x v="0"/>
    <m/>
    <m/>
    <m/>
    <m/>
    <x v="0"/>
    <m/>
    <m/>
    <m/>
    <m/>
    <m/>
    <m/>
    <x v="0"/>
    <m/>
    <m/>
    <m/>
  </r>
  <r>
    <x v="1"/>
    <x v="1"/>
    <x v="0"/>
    <x v="0"/>
    <x v="0"/>
    <m/>
    <m/>
    <m/>
    <m/>
    <x v="0"/>
    <m/>
    <m/>
    <m/>
    <m/>
    <m/>
    <m/>
    <x v="0"/>
    <m/>
    <m/>
    <m/>
  </r>
  <r>
    <x v="1"/>
    <x v="1"/>
    <x v="0"/>
    <x v="0"/>
    <x v="0"/>
    <m/>
    <m/>
    <m/>
    <m/>
    <x v="0"/>
    <m/>
    <m/>
    <m/>
    <m/>
    <m/>
    <m/>
    <x v="0"/>
    <m/>
    <m/>
    <m/>
  </r>
  <r>
    <x v="1"/>
    <x v="1"/>
    <x v="0"/>
    <x v="0"/>
    <x v="0"/>
    <m/>
    <m/>
    <m/>
    <m/>
    <x v="0"/>
    <m/>
    <m/>
    <m/>
    <m/>
    <m/>
    <m/>
    <x v="0"/>
    <m/>
    <m/>
    <m/>
  </r>
  <r>
    <x v="1"/>
    <x v="1"/>
    <x v="0"/>
    <x v="0"/>
    <x v="0"/>
    <m/>
    <m/>
    <m/>
    <m/>
    <x v="0"/>
    <m/>
    <m/>
    <m/>
    <m/>
    <m/>
    <m/>
    <x v="0"/>
    <m/>
    <m/>
    <m/>
  </r>
  <r>
    <x v="1"/>
    <x v="1"/>
    <x v="2"/>
    <x v="0"/>
    <x v="0"/>
    <m/>
    <m/>
    <m/>
    <m/>
    <x v="0"/>
    <m/>
    <m/>
    <m/>
    <m/>
    <m/>
    <m/>
    <x v="0"/>
    <m/>
    <m/>
    <m/>
  </r>
  <r>
    <x v="1"/>
    <x v="1"/>
    <x v="5"/>
    <x v="0"/>
    <x v="0"/>
    <m/>
    <m/>
    <m/>
    <m/>
    <x v="0"/>
    <m/>
    <m/>
    <m/>
    <m/>
    <m/>
    <m/>
    <x v="0"/>
    <m/>
    <m/>
    <m/>
  </r>
  <r>
    <x v="1"/>
    <x v="1"/>
    <x v="0"/>
    <x v="0"/>
    <x v="0"/>
    <m/>
    <m/>
    <m/>
    <m/>
    <x v="0"/>
    <m/>
    <m/>
    <m/>
    <m/>
    <m/>
    <m/>
    <x v="0"/>
    <m/>
    <m/>
    <m/>
  </r>
  <r>
    <x v="1"/>
    <x v="1"/>
    <x v="6"/>
    <x v="0"/>
    <x v="0"/>
    <m/>
    <m/>
    <m/>
    <m/>
    <x v="0"/>
    <m/>
    <m/>
    <m/>
    <m/>
    <m/>
    <m/>
    <x v="0"/>
    <m/>
    <m/>
    <m/>
  </r>
  <r>
    <x v="1"/>
    <x v="0"/>
    <x v="6"/>
    <x v="0"/>
    <x v="0"/>
    <m/>
    <m/>
    <m/>
    <m/>
    <x v="0"/>
    <m/>
    <m/>
    <m/>
    <m/>
    <m/>
    <m/>
    <x v="0"/>
    <m/>
    <m/>
    <m/>
  </r>
  <r>
    <x v="1"/>
    <x v="0"/>
    <x v="7"/>
    <x v="0"/>
    <x v="0"/>
    <m/>
    <m/>
    <m/>
    <m/>
    <x v="0"/>
    <m/>
    <m/>
    <m/>
    <m/>
    <m/>
    <m/>
    <x v="0"/>
    <m/>
    <m/>
    <m/>
  </r>
  <r>
    <x v="1"/>
    <x v="1"/>
    <x v="7"/>
    <x v="0"/>
    <x v="0"/>
    <m/>
    <m/>
    <m/>
    <m/>
    <x v="0"/>
    <m/>
    <m/>
    <m/>
    <m/>
    <m/>
    <m/>
    <x v="0"/>
    <m/>
    <m/>
    <m/>
  </r>
  <r>
    <x v="1"/>
    <x v="2"/>
    <x v="1"/>
    <x v="0"/>
    <x v="0"/>
    <m/>
    <m/>
    <m/>
    <m/>
    <x v="0"/>
    <m/>
    <m/>
    <m/>
    <m/>
    <m/>
    <m/>
    <x v="0"/>
    <m/>
    <m/>
    <m/>
  </r>
  <r>
    <x v="1"/>
    <x v="3"/>
    <x v="1"/>
    <x v="0"/>
    <x v="0"/>
    <m/>
    <m/>
    <m/>
    <m/>
    <x v="0"/>
    <m/>
    <m/>
    <m/>
    <m/>
    <m/>
    <m/>
    <x v="0"/>
    <m/>
    <m/>
    <m/>
  </r>
  <r>
    <x v="1"/>
    <x v="0"/>
    <x v="8"/>
    <x v="0"/>
    <x v="0"/>
    <m/>
    <m/>
    <m/>
    <m/>
    <x v="0"/>
    <m/>
    <m/>
    <m/>
    <m/>
    <m/>
    <m/>
    <x v="0"/>
    <m/>
    <m/>
    <m/>
  </r>
  <r>
    <x v="1"/>
    <x v="1"/>
    <x v="8"/>
    <x v="0"/>
    <x v="0"/>
    <m/>
    <m/>
    <m/>
    <m/>
    <x v="0"/>
    <m/>
    <m/>
    <m/>
    <m/>
    <m/>
    <m/>
    <x v="0"/>
    <m/>
    <m/>
    <m/>
  </r>
  <r>
    <x v="1"/>
    <x v="0"/>
    <x v="6"/>
    <x v="0"/>
    <x v="0"/>
    <m/>
    <m/>
    <m/>
    <m/>
    <x v="0"/>
    <m/>
    <m/>
    <m/>
    <m/>
    <m/>
    <m/>
    <x v="0"/>
    <m/>
    <m/>
    <m/>
  </r>
  <r>
    <x v="2"/>
    <x v="0"/>
    <x v="0"/>
    <x v="0"/>
    <x v="0"/>
    <m/>
    <m/>
    <m/>
    <m/>
    <x v="0"/>
    <m/>
    <m/>
    <m/>
    <m/>
    <m/>
    <m/>
    <x v="0"/>
    <m/>
    <m/>
    <m/>
  </r>
  <r>
    <x v="2"/>
    <x v="0"/>
    <x v="0"/>
    <x v="0"/>
    <x v="0"/>
    <m/>
    <m/>
    <m/>
    <m/>
    <x v="0"/>
    <m/>
    <m/>
    <m/>
    <m/>
    <m/>
    <m/>
    <x v="0"/>
    <m/>
    <m/>
    <m/>
  </r>
  <r>
    <x v="2"/>
    <x v="0"/>
    <x v="0"/>
    <x v="0"/>
    <x v="0"/>
    <m/>
    <m/>
    <m/>
    <m/>
    <x v="0"/>
    <m/>
    <m/>
    <m/>
    <m/>
    <m/>
    <m/>
    <x v="0"/>
    <m/>
    <m/>
    <m/>
  </r>
  <r>
    <x v="2"/>
    <x v="0"/>
    <x v="1"/>
    <x v="0"/>
    <x v="0"/>
    <m/>
    <m/>
    <m/>
    <m/>
    <x v="0"/>
    <m/>
    <m/>
    <m/>
    <m/>
    <m/>
    <m/>
    <x v="0"/>
    <m/>
    <m/>
    <m/>
  </r>
  <r>
    <x v="2"/>
    <x v="0"/>
    <x v="2"/>
    <x v="0"/>
    <x v="0"/>
    <m/>
    <m/>
    <m/>
    <m/>
    <x v="0"/>
    <m/>
    <m/>
    <m/>
    <m/>
    <m/>
    <m/>
    <x v="0"/>
    <m/>
    <m/>
    <m/>
  </r>
  <r>
    <x v="2"/>
    <x v="0"/>
    <x v="1"/>
    <x v="0"/>
    <x v="0"/>
    <m/>
    <m/>
    <m/>
    <m/>
    <x v="0"/>
    <m/>
    <m/>
    <m/>
    <m/>
    <m/>
    <m/>
    <x v="0"/>
    <m/>
    <m/>
    <m/>
  </r>
  <r>
    <x v="2"/>
    <x v="0"/>
    <x v="1"/>
    <x v="0"/>
    <x v="0"/>
    <m/>
    <m/>
    <m/>
    <m/>
    <x v="0"/>
    <m/>
    <m/>
    <m/>
    <m/>
    <m/>
    <m/>
    <x v="0"/>
    <m/>
    <m/>
    <m/>
  </r>
  <r>
    <x v="2"/>
    <x v="0"/>
    <x v="1"/>
    <x v="0"/>
    <x v="0"/>
    <m/>
    <m/>
    <m/>
    <m/>
    <x v="0"/>
    <m/>
    <m/>
    <m/>
    <m/>
    <m/>
    <m/>
    <x v="0"/>
    <m/>
    <m/>
    <m/>
  </r>
  <r>
    <x v="2"/>
    <x v="0"/>
    <x v="2"/>
    <x v="0"/>
    <x v="0"/>
    <m/>
    <m/>
    <m/>
    <m/>
    <x v="0"/>
    <m/>
    <m/>
    <m/>
    <m/>
    <m/>
    <m/>
    <x v="0"/>
    <m/>
    <m/>
    <m/>
  </r>
  <r>
    <x v="2"/>
    <x v="0"/>
    <x v="4"/>
    <x v="0"/>
    <x v="0"/>
    <m/>
    <m/>
    <m/>
    <m/>
    <x v="0"/>
    <m/>
    <m/>
    <m/>
    <m/>
    <m/>
    <m/>
    <x v="0"/>
    <m/>
    <m/>
    <m/>
  </r>
  <r>
    <x v="2"/>
    <x v="0"/>
    <x v="5"/>
    <x v="0"/>
    <x v="0"/>
    <m/>
    <m/>
    <m/>
    <m/>
    <x v="0"/>
    <m/>
    <m/>
    <m/>
    <m/>
    <m/>
    <m/>
    <x v="0"/>
    <m/>
    <m/>
    <m/>
  </r>
  <r>
    <x v="2"/>
    <x v="1"/>
    <x v="0"/>
    <x v="0"/>
    <x v="0"/>
    <m/>
    <m/>
    <m/>
    <m/>
    <x v="0"/>
    <m/>
    <m/>
    <m/>
    <m/>
    <m/>
    <m/>
    <x v="0"/>
    <m/>
    <m/>
    <m/>
  </r>
  <r>
    <x v="2"/>
    <x v="1"/>
    <x v="0"/>
    <x v="0"/>
    <x v="0"/>
    <m/>
    <m/>
    <m/>
    <m/>
    <x v="0"/>
    <m/>
    <m/>
    <m/>
    <m/>
    <m/>
    <m/>
    <x v="0"/>
    <m/>
    <m/>
    <m/>
  </r>
  <r>
    <x v="2"/>
    <x v="1"/>
    <x v="0"/>
    <x v="0"/>
    <x v="0"/>
    <m/>
    <m/>
    <m/>
    <m/>
    <x v="0"/>
    <m/>
    <m/>
    <m/>
    <m/>
    <m/>
    <m/>
    <x v="0"/>
    <m/>
    <m/>
    <m/>
  </r>
  <r>
    <x v="2"/>
    <x v="1"/>
    <x v="0"/>
    <x v="0"/>
    <x v="0"/>
    <m/>
    <m/>
    <m/>
    <m/>
    <x v="0"/>
    <m/>
    <m/>
    <m/>
    <m/>
    <m/>
    <m/>
    <x v="0"/>
    <m/>
    <m/>
    <m/>
  </r>
  <r>
    <x v="2"/>
    <x v="1"/>
    <x v="0"/>
    <x v="0"/>
    <x v="0"/>
    <m/>
    <m/>
    <m/>
    <m/>
    <x v="0"/>
    <m/>
    <m/>
    <m/>
    <m/>
    <m/>
    <m/>
    <x v="0"/>
    <m/>
    <m/>
    <m/>
  </r>
  <r>
    <x v="2"/>
    <x v="1"/>
    <x v="2"/>
    <x v="0"/>
    <x v="0"/>
    <m/>
    <m/>
    <m/>
    <m/>
    <x v="0"/>
    <m/>
    <m/>
    <m/>
    <m/>
    <m/>
    <m/>
    <x v="0"/>
    <m/>
    <m/>
    <m/>
  </r>
  <r>
    <x v="2"/>
    <x v="1"/>
    <x v="5"/>
    <x v="0"/>
    <x v="0"/>
    <m/>
    <m/>
    <m/>
    <m/>
    <x v="0"/>
    <m/>
    <m/>
    <m/>
    <m/>
    <m/>
    <m/>
    <x v="0"/>
    <m/>
    <m/>
    <m/>
  </r>
  <r>
    <x v="2"/>
    <x v="1"/>
    <x v="0"/>
    <x v="0"/>
    <x v="0"/>
    <m/>
    <m/>
    <m/>
    <m/>
    <x v="0"/>
    <m/>
    <m/>
    <m/>
    <m/>
    <m/>
    <m/>
    <x v="0"/>
    <m/>
    <m/>
    <m/>
  </r>
  <r>
    <x v="2"/>
    <x v="1"/>
    <x v="6"/>
    <x v="0"/>
    <x v="0"/>
    <m/>
    <m/>
    <m/>
    <m/>
    <x v="0"/>
    <m/>
    <m/>
    <m/>
    <m/>
    <m/>
    <m/>
    <x v="0"/>
    <m/>
    <m/>
    <m/>
  </r>
  <r>
    <x v="2"/>
    <x v="0"/>
    <x v="6"/>
    <x v="0"/>
    <x v="0"/>
    <m/>
    <m/>
    <m/>
    <m/>
    <x v="0"/>
    <m/>
    <m/>
    <m/>
    <m/>
    <m/>
    <m/>
    <x v="0"/>
    <m/>
    <m/>
    <m/>
  </r>
  <r>
    <x v="2"/>
    <x v="0"/>
    <x v="7"/>
    <x v="0"/>
    <x v="0"/>
    <m/>
    <m/>
    <m/>
    <m/>
    <x v="0"/>
    <m/>
    <m/>
    <m/>
    <m/>
    <m/>
    <m/>
    <x v="0"/>
    <m/>
    <m/>
    <m/>
  </r>
  <r>
    <x v="2"/>
    <x v="1"/>
    <x v="7"/>
    <x v="0"/>
    <x v="0"/>
    <m/>
    <m/>
    <m/>
    <m/>
    <x v="0"/>
    <m/>
    <m/>
    <m/>
    <m/>
    <m/>
    <m/>
    <x v="0"/>
    <m/>
    <m/>
    <m/>
  </r>
  <r>
    <x v="2"/>
    <x v="2"/>
    <x v="1"/>
    <x v="0"/>
    <x v="0"/>
    <m/>
    <m/>
    <m/>
    <m/>
    <x v="0"/>
    <m/>
    <m/>
    <m/>
    <m/>
    <m/>
    <m/>
    <x v="0"/>
    <m/>
    <m/>
    <m/>
  </r>
  <r>
    <x v="2"/>
    <x v="3"/>
    <x v="1"/>
    <x v="0"/>
    <x v="0"/>
    <m/>
    <m/>
    <m/>
    <m/>
    <x v="0"/>
    <m/>
    <m/>
    <m/>
    <m/>
    <m/>
    <m/>
    <x v="0"/>
    <m/>
    <m/>
    <m/>
  </r>
  <r>
    <x v="2"/>
    <x v="0"/>
    <x v="8"/>
    <x v="0"/>
    <x v="0"/>
    <m/>
    <m/>
    <m/>
    <m/>
    <x v="0"/>
    <m/>
    <m/>
    <m/>
    <m/>
    <m/>
    <m/>
    <x v="0"/>
    <m/>
    <m/>
    <m/>
  </r>
  <r>
    <x v="2"/>
    <x v="1"/>
    <x v="8"/>
    <x v="0"/>
    <x v="0"/>
    <m/>
    <m/>
    <m/>
    <m/>
    <x v="0"/>
    <m/>
    <m/>
    <m/>
    <m/>
    <m/>
    <m/>
    <x v="0"/>
    <m/>
    <m/>
    <m/>
  </r>
  <r>
    <x v="2"/>
    <x v="0"/>
    <x v="6"/>
    <x v="0"/>
    <x v="0"/>
    <m/>
    <m/>
    <m/>
    <m/>
    <x v="0"/>
    <m/>
    <m/>
    <m/>
    <m/>
    <m/>
    <m/>
    <x v="0"/>
    <m/>
    <m/>
    <m/>
  </r>
  <r>
    <x v="2"/>
    <x v="0"/>
    <x v="0"/>
    <x v="0"/>
    <x v="0"/>
    <m/>
    <m/>
    <m/>
    <m/>
    <x v="0"/>
    <m/>
    <m/>
    <m/>
    <m/>
    <m/>
    <m/>
    <x v="0"/>
    <m/>
    <m/>
    <m/>
  </r>
  <r>
    <x v="2"/>
    <x v="0"/>
    <x v="0"/>
    <x v="0"/>
    <x v="0"/>
    <m/>
    <m/>
    <m/>
    <m/>
    <x v="0"/>
    <m/>
    <m/>
    <m/>
    <m/>
    <m/>
    <m/>
    <x v="0"/>
    <m/>
    <m/>
    <m/>
  </r>
  <r>
    <x v="3"/>
    <x v="0"/>
    <x v="0"/>
    <x v="0"/>
    <x v="0"/>
    <m/>
    <m/>
    <m/>
    <m/>
    <x v="0"/>
    <m/>
    <m/>
    <m/>
    <m/>
    <m/>
    <m/>
    <x v="0"/>
    <m/>
    <m/>
    <m/>
  </r>
  <r>
    <x v="3"/>
    <x v="0"/>
    <x v="0"/>
    <x v="0"/>
    <x v="0"/>
    <m/>
    <m/>
    <m/>
    <m/>
    <x v="0"/>
    <m/>
    <m/>
    <m/>
    <m/>
    <m/>
    <m/>
    <x v="0"/>
    <m/>
    <m/>
    <m/>
  </r>
  <r>
    <x v="3"/>
    <x v="0"/>
    <x v="0"/>
    <x v="0"/>
    <x v="0"/>
    <m/>
    <m/>
    <m/>
    <m/>
    <x v="0"/>
    <m/>
    <m/>
    <m/>
    <m/>
    <m/>
    <m/>
    <x v="0"/>
    <m/>
    <m/>
    <m/>
  </r>
  <r>
    <x v="3"/>
    <x v="0"/>
    <x v="1"/>
    <x v="0"/>
    <x v="0"/>
    <m/>
    <m/>
    <m/>
    <m/>
    <x v="0"/>
    <m/>
    <m/>
    <m/>
    <m/>
    <m/>
    <m/>
    <x v="0"/>
    <m/>
    <m/>
    <m/>
  </r>
  <r>
    <x v="3"/>
    <x v="0"/>
    <x v="2"/>
    <x v="0"/>
    <x v="0"/>
    <m/>
    <m/>
    <m/>
    <m/>
    <x v="0"/>
    <m/>
    <m/>
    <m/>
    <m/>
    <m/>
    <m/>
    <x v="0"/>
    <m/>
    <m/>
    <m/>
  </r>
  <r>
    <x v="3"/>
    <x v="0"/>
    <x v="1"/>
    <x v="0"/>
    <x v="0"/>
    <m/>
    <m/>
    <m/>
    <m/>
    <x v="0"/>
    <m/>
    <m/>
    <m/>
    <m/>
    <m/>
    <m/>
    <x v="0"/>
    <m/>
    <m/>
    <m/>
  </r>
  <r>
    <x v="3"/>
    <x v="0"/>
    <x v="0"/>
    <x v="0"/>
    <x v="0"/>
    <m/>
    <m/>
    <m/>
    <m/>
    <x v="0"/>
    <m/>
    <m/>
    <m/>
    <m/>
    <m/>
    <m/>
    <x v="0"/>
    <m/>
    <m/>
    <m/>
  </r>
  <r>
    <x v="3"/>
    <x v="0"/>
    <x v="1"/>
    <x v="0"/>
    <x v="0"/>
    <m/>
    <m/>
    <m/>
    <m/>
    <x v="0"/>
    <m/>
    <m/>
    <m/>
    <m/>
    <m/>
    <m/>
    <x v="0"/>
    <m/>
    <m/>
    <m/>
  </r>
  <r>
    <x v="3"/>
    <x v="0"/>
    <x v="2"/>
    <x v="0"/>
    <x v="0"/>
    <m/>
    <m/>
    <m/>
    <m/>
    <x v="0"/>
    <m/>
    <m/>
    <m/>
    <m/>
    <m/>
    <m/>
    <x v="0"/>
    <m/>
    <m/>
    <m/>
  </r>
  <r>
    <x v="3"/>
    <x v="0"/>
    <x v="4"/>
    <x v="0"/>
    <x v="0"/>
    <m/>
    <m/>
    <m/>
    <m/>
    <x v="0"/>
    <m/>
    <m/>
    <m/>
    <m/>
    <m/>
    <m/>
    <x v="0"/>
    <m/>
    <m/>
    <m/>
  </r>
  <r>
    <x v="3"/>
    <x v="0"/>
    <x v="5"/>
    <x v="0"/>
    <x v="0"/>
    <m/>
    <m/>
    <m/>
    <m/>
    <x v="0"/>
    <m/>
    <m/>
    <m/>
    <m/>
    <m/>
    <m/>
    <x v="0"/>
    <m/>
    <m/>
    <m/>
  </r>
  <r>
    <x v="3"/>
    <x v="1"/>
    <x v="0"/>
    <x v="0"/>
    <x v="0"/>
    <m/>
    <m/>
    <m/>
    <m/>
    <x v="0"/>
    <m/>
    <m/>
    <m/>
    <m/>
    <m/>
    <m/>
    <x v="0"/>
    <m/>
    <m/>
    <m/>
  </r>
  <r>
    <x v="3"/>
    <x v="1"/>
    <x v="0"/>
    <x v="0"/>
    <x v="0"/>
    <m/>
    <m/>
    <m/>
    <m/>
    <x v="0"/>
    <m/>
    <m/>
    <m/>
    <m/>
    <m/>
    <m/>
    <x v="0"/>
    <m/>
    <m/>
    <m/>
  </r>
  <r>
    <x v="3"/>
    <x v="1"/>
    <x v="0"/>
    <x v="0"/>
    <x v="0"/>
    <m/>
    <m/>
    <m/>
    <m/>
    <x v="0"/>
    <m/>
    <m/>
    <m/>
    <m/>
    <m/>
    <m/>
    <x v="0"/>
    <m/>
    <m/>
    <m/>
  </r>
  <r>
    <x v="3"/>
    <x v="1"/>
    <x v="0"/>
    <x v="0"/>
    <x v="0"/>
    <m/>
    <m/>
    <m/>
    <m/>
    <x v="0"/>
    <m/>
    <m/>
    <m/>
    <m/>
    <m/>
    <m/>
    <x v="0"/>
    <m/>
    <m/>
    <m/>
  </r>
  <r>
    <x v="3"/>
    <x v="1"/>
    <x v="0"/>
    <x v="0"/>
    <x v="0"/>
    <m/>
    <m/>
    <m/>
    <m/>
    <x v="0"/>
    <m/>
    <m/>
    <m/>
    <m/>
    <m/>
    <m/>
    <x v="0"/>
    <m/>
    <m/>
    <m/>
  </r>
  <r>
    <x v="3"/>
    <x v="1"/>
    <x v="2"/>
    <x v="0"/>
    <x v="0"/>
    <m/>
    <m/>
    <m/>
    <m/>
    <x v="0"/>
    <m/>
    <m/>
    <m/>
    <m/>
    <m/>
    <m/>
    <x v="0"/>
    <m/>
    <m/>
    <m/>
  </r>
  <r>
    <x v="3"/>
    <x v="1"/>
    <x v="5"/>
    <x v="0"/>
    <x v="0"/>
    <m/>
    <m/>
    <m/>
    <m/>
    <x v="0"/>
    <m/>
    <m/>
    <m/>
    <m/>
    <m/>
    <m/>
    <x v="0"/>
    <m/>
    <m/>
    <m/>
  </r>
  <r>
    <x v="3"/>
    <x v="1"/>
    <x v="0"/>
    <x v="0"/>
    <x v="0"/>
    <m/>
    <m/>
    <m/>
    <m/>
    <x v="0"/>
    <m/>
    <m/>
    <m/>
    <m/>
    <m/>
    <m/>
    <x v="0"/>
    <m/>
    <m/>
    <m/>
  </r>
  <r>
    <x v="3"/>
    <x v="1"/>
    <x v="6"/>
    <x v="0"/>
    <x v="0"/>
    <m/>
    <m/>
    <m/>
    <m/>
    <x v="0"/>
    <m/>
    <m/>
    <m/>
    <m/>
    <m/>
    <m/>
    <x v="0"/>
    <m/>
    <m/>
    <m/>
  </r>
  <r>
    <x v="3"/>
    <x v="0"/>
    <x v="6"/>
    <x v="0"/>
    <x v="0"/>
    <m/>
    <m/>
    <m/>
    <m/>
    <x v="0"/>
    <m/>
    <m/>
    <m/>
    <m/>
    <m/>
    <m/>
    <x v="0"/>
    <m/>
    <m/>
    <m/>
  </r>
  <r>
    <x v="3"/>
    <x v="0"/>
    <x v="7"/>
    <x v="0"/>
    <x v="0"/>
    <m/>
    <m/>
    <m/>
    <m/>
    <x v="0"/>
    <m/>
    <m/>
    <m/>
    <m/>
    <m/>
    <m/>
    <x v="0"/>
    <m/>
    <m/>
    <m/>
  </r>
  <r>
    <x v="3"/>
    <x v="1"/>
    <x v="7"/>
    <x v="0"/>
    <x v="0"/>
    <m/>
    <m/>
    <m/>
    <m/>
    <x v="0"/>
    <m/>
    <m/>
    <m/>
    <m/>
    <m/>
    <m/>
    <x v="0"/>
    <m/>
    <m/>
    <m/>
  </r>
  <r>
    <x v="3"/>
    <x v="2"/>
    <x v="1"/>
    <x v="0"/>
    <x v="0"/>
    <m/>
    <m/>
    <m/>
    <m/>
    <x v="0"/>
    <m/>
    <m/>
    <m/>
    <m/>
    <m/>
    <m/>
    <x v="0"/>
    <m/>
    <m/>
    <m/>
  </r>
  <r>
    <x v="3"/>
    <x v="3"/>
    <x v="1"/>
    <x v="0"/>
    <x v="0"/>
    <m/>
    <m/>
    <m/>
    <m/>
    <x v="0"/>
    <m/>
    <m/>
    <m/>
    <m/>
    <m/>
    <m/>
    <x v="0"/>
    <m/>
    <m/>
    <m/>
  </r>
  <r>
    <x v="3"/>
    <x v="0"/>
    <x v="8"/>
    <x v="0"/>
    <x v="0"/>
    <m/>
    <m/>
    <m/>
    <m/>
    <x v="0"/>
    <m/>
    <m/>
    <m/>
    <m/>
    <m/>
    <m/>
    <x v="0"/>
    <m/>
    <m/>
    <m/>
  </r>
  <r>
    <x v="3"/>
    <x v="1"/>
    <x v="8"/>
    <x v="0"/>
    <x v="0"/>
    <m/>
    <m/>
    <m/>
    <m/>
    <x v="0"/>
    <m/>
    <m/>
    <m/>
    <m/>
    <m/>
    <m/>
    <x v="0"/>
    <m/>
    <m/>
    <m/>
  </r>
  <r>
    <x v="3"/>
    <x v="0"/>
    <x v="6"/>
    <x v="0"/>
    <x v="0"/>
    <m/>
    <m/>
    <m/>
    <m/>
    <x v="0"/>
    <m/>
    <m/>
    <m/>
    <m/>
    <m/>
    <m/>
    <x v="0"/>
    <m/>
    <m/>
    <m/>
  </r>
  <r>
    <x v="3"/>
    <x v="0"/>
    <x v="0"/>
    <x v="0"/>
    <x v="0"/>
    <m/>
    <m/>
    <m/>
    <m/>
    <x v="0"/>
    <m/>
    <m/>
    <m/>
    <m/>
    <m/>
    <m/>
    <x v="0"/>
    <m/>
    <m/>
    <m/>
  </r>
  <r>
    <x v="3"/>
    <x v="0"/>
    <x v="0"/>
    <x v="0"/>
    <x v="0"/>
    <m/>
    <m/>
    <m/>
    <m/>
    <x v="0"/>
    <m/>
    <m/>
    <m/>
    <m/>
    <m/>
    <m/>
    <x v="0"/>
    <m/>
    <m/>
    <m/>
  </r>
  <r>
    <x v="3"/>
    <x v="0"/>
    <x v="9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  <r>
    <x v="4"/>
    <x v="4"/>
    <x v="10"/>
    <x v="0"/>
    <x v="0"/>
    <m/>
    <m/>
    <m/>
    <m/>
    <x v="0"/>
    <m/>
    <m/>
    <m/>
    <m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DataPilot1" cacheId="11" applyNumberFormats="0" applyBorderFormats="0" applyFontFormats="0" applyPatternFormats="0" applyAlignmentFormats="0" applyWidthHeightFormats="0" dataCaption="Values" updatedVersion="8" itemPrintTitles="1" indent="0" compact="0" compactData="0">
  <location ref="A5:E7" firstHeaderRow="1" firstDataRow="2" firstDataCol="4" rowPageCount="2" colPageCount="1"/>
  <pivotFields count="20">
    <pivotField axis="axisPage" compact="0" outline="0" showAll="0" defaultSubtotal="0">
      <items count="5">
        <item h="1" x="0"/>
        <item h="1" x="1"/>
        <item h="1" x="2"/>
        <item x="3"/>
        <item h="1" x="4"/>
      </items>
    </pivotField>
    <pivotField axis="axisRow" compact="0" outline="0" showAll="0">
      <items count="6">
        <item h="1" x="2"/>
        <item h="1" x="3"/>
        <item x="0"/>
        <item h="1" x="1"/>
        <item h="1" x="4"/>
        <item t="default"/>
      </items>
    </pivotField>
    <pivotField axis="axisCol" compact="0" outline="0" showAll="0" defaultSubtotal="0">
      <items count="11">
        <item x="1"/>
        <item x="0"/>
        <item x="4"/>
        <item x="2"/>
        <item x="6"/>
        <item x="3"/>
        <item x="8"/>
        <item x="5"/>
        <item x="7"/>
        <item x="9"/>
        <item x="10"/>
      </items>
    </pivotField>
    <pivotField axis="axisRow" compact="0" outline="0" showAll="0" defaultSubtotal="0">
      <items count="1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h="1" x="0"/>
      </items>
    </pivotField>
    <pivotField axis="axisRow" compact="0" outline="0" showAll="0" defaultSubtotal="0">
      <items count="7">
        <item m="1" x="1"/>
        <item m="1" x="2"/>
        <item m="1" x="3"/>
        <item m="1" x="4"/>
        <item m="1" x="5"/>
        <item m="1" x="6"/>
        <item h="1" x="0"/>
      </items>
    </pivotField>
    <pivotField compact="0" showAll="0"/>
    <pivotField compact="0" showAll="0"/>
    <pivotField compact="0" showAll="0"/>
    <pivotField compact="0" showAll="0"/>
    <pivotField axis="axisPage" compact="0" outline="0" showAll="0" defaultSubtotal="0">
      <items count="4">
        <item m="1" x="1"/>
        <item h="1" m="1" x="2"/>
        <item m="1" x="3"/>
        <item x="0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axis="axisRow" compact="0" outline="0" showAll="0">
      <items count="7">
        <item m="1" x="1"/>
        <item m="1" x="2"/>
        <item m="1" x="3"/>
        <item m="1" x="4"/>
        <item m="1" x="5"/>
        <item x="0"/>
        <item t="default"/>
      </items>
    </pivotField>
    <pivotField compact="0" showAll="0"/>
    <pivotField compact="0" showAll="0"/>
    <pivotField compact="0" showAll="0"/>
  </pivotFields>
  <rowFields count="4">
    <field x="1"/>
    <field x="16"/>
    <field x="4"/>
    <field x="3"/>
  </rowFields>
  <rowItems count="1">
    <i t="grand">
      <x/>
    </i>
  </rowItems>
  <colFields count="1">
    <field x="2"/>
  </colFields>
  <colItems count="1">
    <i t="grand">
      <x/>
    </i>
  </colItems>
  <pageFields count="2">
    <pageField fld="9" hier="-1"/>
    <pageField fld="0" hier="-1"/>
  </pageFields>
  <dataFields count="1">
    <dataField name="Sum - Valeur nette attribuée (€)" fld="15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Positions" displayName="tblPositions" ref="A1:I300" totalsRowShown="0">
  <autoFilter ref="A1:I300" xr:uid="{00000000-0009-0000-0100-000002000000}"/>
  <tableColumns count="9">
    <tableColumn id="1" xr3:uid="{00000000-0010-0000-0000-000001000000}" name="Date"/>
    <tableColumn id="2" xr3:uid="{00000000-0010-0000-0000-000002000000}" name="Propriétaire"/>
    <tableColumn id="3" xr3:uid="{00000000-0010-0000-0000-000003000000}" name="Catégorie"/>
    <tableColumn id="4" xr3:uid="{00000000-0010-0000-0000-000004000000}" name="Enveloppe"/>
    <tableColumn id="5" xr3:uid="{00000000-0010-0000-0000-000005000000}" name="Établissement"/>
    <tableColumn id="6" xr3:uid="{00000000-0010-0000-0000-000006000000}" name="Valeur (€)"/>
    <tableColumn id="7" xr3:uid="{00000000-0010-0000-0000-000007000000}" name="Dette restante (€)"/>
    <tableColumn id="8" xr3:uid="{00000000-0010-0000-0000-000008000000}" name="Valeur nette (€)"/>
    <tableColumn id="9" xr3:uid="{00000000-0010-0000-0000-000009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Flux" displayName="tblFlux" ref="A1:F301" totalsRowShown="0">
  <autoFilter ref="A1:F301" xr:uid="{00000000-0009-0000-0100-000001000000}"/>
  <tableColumns count="6">
    <tableColumn id="1" xr3:uid="{00000000-0010-0000-0100-000001000000}" name="Date"/>
    <tableColumn id="2" xr3:uid="{00000000-0010-0000-0100-000002000000}" name="Propriétaire"/>
    <tableColumn id="3" xr3:uid="{00000000-0010-0000-0100-000003000000}" name="Enveloppe"/>
    <tableColumn id="4" xr3:uid="{00000000-0010-0000-0100-000004000000}" name="Type"/>
    <tableColumn id="5" xr3:uid="{00000000-0010-0000-0100-000005000000}" name="Montant (€) (signé)"/>
    <tableColumn id="6" xr3:uid="{00000000-0010-0000-0100-000006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zoomScale="80" zoomScaleNormal="80" workbookViewId="0">
      <selection activeCell="D17" sqref="D17"/>
    </sheetView>
  </sheetViews>
  <sheetFormatPr baseColWidth="10" defaultColWidth="8.5" defaultRowHeight="13" x14ac:dyDescent="0.15"/>
  <cols>
    <col min="1" max="1" width="80" customWidth="1"/>
    <col min="2" max="8" width="15" customWidth="1"/>
  </cols>
  <sheetData>
    <row r="1" spans="1:8" ht="21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ht="28" x14ac:dyDescent="0.15">
      <c r="A3" s="4" t="s">
        <v>1</v>
      </c>
    </row>
    <row r="4" spans="1:8" ht="15" x14ac:dyDescent="0.15">
      <c r="A4" s="5"/>
    </row>
    <row r="5" spans="1:8" ht="16" x14ac:dyDescent="0.15">
      <c r="A5" s="5" t="s">
        <v>2</v>
      </c>
    </row>
    <row r="6" spans="1:8" ht="16" x14ac:dyDescent="0.15">
      <c r="A6" s="5" t="s">
        <v>3</v>
      </c>
    </row>
    <row r="7" spans="1:8" ht="16" x14ac:dyDescent="0.15">
      <c r="A7" s="5" t="s">
        <v>4</v>
      </c>
    </row>
    <row r="8" spans="1:8" ht="15" x14ac:dyDescent="0.15">
      <c r="A8" s="5"/>
    </row>
    <row r="9" spans="1:8" ht="16" x14ac:dyDescent="0.15">
      <c r="A9" s="5" t="s">
        <v>5</v>
      </c>
    </row>
    <row r="10" spans="1:8" ht="14" x14ac:dyDescent="0.15">
      <c r="A10" s="6" t="s">
        <v>6</v>
      </c>
    </row>
    <row r="11" spans="1:8" ht="14" x14ac:dyDescent="0.15">
      <c r="A11" s="6" t="s">
        <v>7</v>
      </c>
    </row>
    <row r="12" spans="1:8" ht="14" x14ac:dyDescent="0.15">
      <c r="A12" s="6" t="s">
        <v>8</v>
      </c>
    </row>
    <row r="13" spans="1:8" ht="15" x14ac:dyDescent="0.15">
      <c r="A13" s="5"/>
    </row>
    <row r="14" spans="1:8" ht="16" x14ac:dyDescent="0.15">
      <c r="A14" s="5" t="s">
        <v>9</v>
      </c>
    </row>
    <row r="15" spans="1:8" ht="16" x14ac:dyDescent="0.15">
      <c r="A15" s="5" t="s">
        <v>10</v>
      </c>
    </row>
    <row r="16" spans="1:8" ht="16" x14ac:dyDescent="0.15">
      <c r="A16" s="5" t="s">
        <v>11</v>
      </c>
    </row>
    <row r="17" spans="1:1" ht="15" x14ac:dyDescent="0.15">
      <c r="A17" s="5"/>
    </row>
    <row r="18" spans="1:1" ht="15" x14ac:dyDescent="0.15">
      <c r="A18" s="5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80" zoomScaleNormal="80" workbookViewId="0">
      <selection activeCell="H6" sqref="H6"/>
    </sheetView>
  </sheetViews>
  <sheetFormatPr baseColWidth="10" defaultColWidth="8.5" defaultRowHeight="13" x14ac:dyDescent="0.15"/>
  <cols>
    <col min="1" max="1" width="13.1640625" customWidth="1"/>
    <col min="2" max="2" width="16.6640625" customWidth="1"/>
    <col min="3" max="3" width="14.1640625" customWidth="1"/>
    <col min="4" max="4" width="15" customWidth="1"/>
    <col min="5" max="5" width="15.5" customWidth="1"/>
    <col min="6" max="6" width="14.6640625" customWidth="1"/>
    <col min="8" max="8" width="14.1640625" customWidth="1"/>
    <col min="9" max="9" width="9.5" customWidth="1"/>
    <col min="10" max="10" width="14.6640625" customWidth="1"/>
    <col min="11" max="11" width="11.5" customWidth="1"/>
    <col min="12" max="12" width="16.6640625" customWidth="1"/>
    <col min="13" max="13" width="14.1640625" customWidth="1"/>
  </cols>
  <sheetData>
    <row r="1" spans="1:13" ht="14" x14ac:dyDescent="0.1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8"/>
      <c r="H1" s="7" t="s">
        <v>14</v>
      </c>
      <c r="I1" s="7" t="s">
        <v>18</v>
      </c>
      <c r="J1" s="7" t="s">
        <v>17</v>
      </c>
      <c r="L1" s="7" t="s">
        <v>13</v>
      </c>
      <c r="M1" s="7" t="s">
        <v>19</v>
      </c>
    </row>
    <row r="2" spans="1:13" x14ac:dyDescent="0.1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tr">
        <f t="shared" ref="H2:H15" si="0">C2</f>
        <v>Compte courant</v>
      </c>
      <c r="I2" t="s">
        <v>24</v>
      </c>
      <c r="J2" t="s">
        <v>25</v>
      </c>
      <c r="L2" t="str">
        <f t="shared" ref="L2:L12" si="1">B2</f>
        <v>Cash &amp; dépôts</v>
      </c>
      <c r="M2" s="9">
        <v>1</v>
      </c>
    </row>
    <row r="3" spans="1:13" x14ac:dyDescent="0.1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H3" t="str">
        <f t="shared" si="0"/>
        <v>Livret A</v>
      </c>
      <c r="I3" t="s">
        <v>24</v>
      </c>
      <c r="J3" t="s">
        <v>25</v>
      </c>
      <c r="L3" t="str">
        <f t="shared" si="1"/>
        <v>Monétaire</v>
      </c>
      <c r="M3" s="9">
        <v>0.95</v>
      </c>
    </row>
    <row r="4" spans="1:13" x14ac:dyDescent="0.1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H4" t="str">
        <f t="shared" si="0"/>
        <v>LDDS</v>
      </c>
      <c r="I4" t="s">
        <v>24</v>
      </c>
      <c r="J4" t="s">
        <v>25</v>
      </c>
      <c r="L4" t="str">
        <f t="shared" si="1"/>
        <v>Obligations</v>
      </c>
      <c r="M4" s="9">
        <v>0.95</v>
      </c>
    </row>
    <row r="5" spans="1:13" ht="14" x14ac:dyDescent="0.15">
      <c r="A5" t="s">
        <v>38</v>
      </c>
      <c r="B5" t="s">
        <v>39</v>
      </c>
      <c r="C5" s="10" t="s">
        <v>40</v>
      </c>
      <c r="D5" t="s">
        <v>37</v>
      </c>
      <c r="E5" s="11" t="s">
        <v>41</v>
      </c>
      <c r="F5" t="s">
        <v>42</v>
      </c>
      <c r="H5" t="str">
        <f t="shared" si="0"/>
        <v>Livret Bourso+</v>
      </c>
      <c r="I5" t="s">
        <v>24</v>
      </c>
      <c r="J5" t="s">
        <v>25</v>
      </c>
      <c r="L5" t="str">
        <f t="shared" si="1"/>
        <v>Actions</v>
      </c>
      <c r="M5" s="9">
        <v>0.9</v>
      </c>
    </row>
    <row r="6" spans="1:13" x14ac:dyDescent="0.15">
      <c r="B6" t="s">
        <v>43</v>
      </c>
      <c r="C6" t="s">
        <v>44</v>
      </c>
      <c r="D6" t="s">
        <v>45</v>
      </c>
      <c r="E6" t="s">
        <v>46</v>
      </c>
      <c r="F6" t="s">
        <v>47</v>
      </c>
      <c r="H6" t="str">
        <f t="shared" si="0"/>
        <v>PEL/CEL</v>
      </c>
      <c r="I6" t="s">
        <v>36</v>
      </c>
      <c r="J6" t="s">
        <v>37</v>
      </c>
      <c r="L6" t="str">
        <f t="shared" si="1"/>
        <v>Immobilier</v>
      </c>
      <c r="M6" s="9">
        <v>0</v>
      </c>
    </row>
    <row r="7" spans="1:13" x14ac:dyDescent="0.15">
      <c r="B7" t="s">
        <v>48</v>
      </c>
      <c r="C7" t="s">
        <v>49</v>
      </c>
      <c r="H7" t="str">
        <f t="shared" si="0"/>
        <v>PEA</v>
      </c>
      <c r="I7" t="s">
        <v>30</v>
      </c>
      <c r="J7" t="s">
        <v>31</v>
      </c>
      <c r="L7" t="str">
        <f t="shared" si="1"/>
        <v>SCPI</v>
      </c>
      <c r="M7" s="9">
        <v>0</v>
      </c>
    </row>
    <row r="8" spans="1:13" x14ac:dyDescent="0.15">
      <c r="B8" t="s">
        <v>50</v>
      </c>
      <c r="C8" t="s">
        <v>51</v>
      </c>
      <c r="H8" t="str">
        <f t="shared" si="0"/>
        <v>CTO</v>
      </c>
      <c r="I8" t="s">
        <v>30</v>
      </c>
      <c r="J8" t="s">
        <v>31</v>
      </c>
      <c r="L8" t="str">
        <f t="shared" si="1"/>
        <v>Fond Euro</v>
      </c>
      <c r="M8" s="9">
        <v>0.95</v>
      </c>
    </row>
    <row r="9" spans="1:13" x14ac:dyDescent="0.15">
      <c r="B9" t="s">
        <v>52</v>
      </c>
      <c r="C9" t="s">
        <v>53</v>
      </c>
      <c r="H9" t="str">
        <f t="shared" si="0"/>
        <v>Assurance-vie</v>
      </c>
      <c r="I9" t="s">
        <v>36</v>
      </c>
      <c r="J9" t="s">
        <v>47</v>
      </c>
      <c r="L9" t="str">
        <f t="shared" si="1"/>
        <v>Produits Structurés</v>
      </c>
      <c r="M9" s="9">
        <v>0</v>
      </c>
    </row>
    <row r="10" spans="1:13" x14ac:dyDescent="0.15">
      <c r="B10" t="s">
        <v>54</v>
      </c>
      <c r="C10" t="s">
        <v>55</v>
      </c>
      <c r="H10" t="str">
        <f t="shared" si="0"/>
        <v>PER</v>
      </c>
      <c r="I10" t="s">
        <v>46</v>
      </c>
      <c r="J10" t="s">
        <v>31</v>
      </c>
      <c r="L10" t="str">
        <f t="shared" si="1"/>
        <v>Crypto</v>
      </c>
      <c r="M10" s="9">
        <v>0.9</v>
      </c>
    </row>
    <row r="11" spans="1:13" x14ac:dyDescent="0.15">
      <c r="B11" t="s">
        <v>56</v>
      </c>
      <c r="C11" t="s">
        <v>54</v>
      </c>
      <c r="H11" t="str">
        <f t="shared" si="0"/>
        <v>Crypto</v>
      </c>
      <c r="I11" t="s">
        <v>24</v>
      </c>
      <c r="J11" t="s">
        <v>42</v>
      </c>
      <c r="L11" t="str">
        <f t="shared" si="1"/>
        <v>Objets de valeur</v>
      </c>
      <c r="M11" s="9">
        <v>0</v>
      </c>
    </row>
    <row r="12" spans="1:13" x14ac:dyDescent="0.15">
      <c r="B12" t="s">
        <v>45</v>
      </c>
      <c r="C12" t="s">
        <v>43</v>
      </c>
      <c r="H12" t="str">
        <f t="shared" si="0"/>
        <v>Immobilier</v>
      </c>
      <c r="I12" t="s">
        <v>41</v>
      </c>
      <c r="J12" t="s">
        <v>47</v>
      </c>
      <c r="L12" t="str">
        <f t="shared" si="1"/>
        <v>Autre</v>
      </c>
      <c r="M12" s="9">
        <v>0.8</v>
      </c>
    </row>
    <row r="13" spans="1:13" x14ac:dyDescent="0.15">
      <c r="C13" t="s">
        <v>57</v>
      </c>
      <c r="H13" t="str">
        <f t="shared" si="0"/>
        <v>SCI</v>
      </c>
      <c r="I13" t="s">
        <v>41</v>
      </c>
      <c r="J13" t="s">
        <v>47</v>
      </c>
    </row>
    <row r="14" spans="1:13" x14ac:dyDescent="0.15">
      <c r="C14" t="s">
        <v>58</v>
      </c>
      <c r="H14" t="str">
        <f t="shared" si="0"/>
        <v>Dette</v>
      </c>
      <c r="I14" t="s">
        <v>46</v>
      </c>
      <c r="J14" t="s">
        <v>25</v>
      </c>
    </row>
    <row r="15" spans="1:13" x14ac:dyDescent="0.15">
      <c r="C15" t="s">
        <v>45</v>
      </c>
      <c r="H15" t="str">
        <f t="shared" si="0"/>
        <v>Autre</v>
      </c>
      <c r="I15" t="s">
        <v>41</v>
      </c>
      <c r="J15" t="s">
        <v>47</v>
      </c>
    </row>
  </sheetData>
  <dataValidations count="2">
    <dataValidation type="list" operator="equal" allowBlank="1" showErrorMessage="1" sqref="I2:I15" xr:uid="{00000000-0002-0000-0100-000000000000}">
      <formula1>$E$2:$E$6</formula1>
      <formula2>0</formula2>
    </dataValidation>
    <dataValidation type="list" operator="equal" allowBlank="1" showErrorMessage="1" sqref="J2:J14" xr:uid="{00000000-0002-0000-0100-000001000000}">
      <formula1>$F$2:$F$6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0"/>
  <sheetViews>
    <sheetView showGridLines="0" topLeftCell="D1" zoomScale="80" zoomScaleNormal="80" workbookViewId="0">
      <pane ySplit="1" topLeftCell="A2" activePane="bottomLeft" state="frozen"/>
      <selection activeCell="D1" sqref="D1"/>
      <selection pane="bottomLeft" activeCell="D2" sqref="D2:T120"/>
    </sheetView>
  </sheetViews>
  <sheetFormatPr baseColWidth="10" defaultColWidth="8.5" defaultRowHeight="13" x14ac:dyDescent="0.15"/>
  <cols>
    <col min="1" max="1" width="12" customWidth="1"/>
    <col min="2" max="2" width="18" customWidth="1"/>
    <col min="3" max="3" width="16.83203125" customWidth="1"/>
    <col min="4" max="4" width="20" customWidth="1"/>
    <col min="5" max="5" width="18" customWidth="1"/>
    <col min="6" max="6" width="14" style="12" customWidth="1"/>
    <col min="7" max="7" width="16" style="12" customWidth="1"/>
    <col min="8" max="8" width="14" style="12" customWidth="1"/>
    <col min="9" max="9" width="28" customWidth="1"/>
    <col min="10" max="10" width="20.6640625" customWidth="1"/>
    <col min="11" max="12" width="8" style="13" customWidth="1"/>
    <col min="13" max="13" width="12" customWidth="1"/>
    <col min="14" max="16" width="15.33203125" style="12" customWidth="1"/>
    <col min="19" max="19" width="11.5" customWidth="1"/>
  </cols>
  <sheetData>
    <row r="1" spans="1:20" ht="45" x14ac:dyDescent="0.15">
      <c r="A1" s="14" t="s">
        <v>59</v>
      </c>
      <c r="B1" s="14" t="s">
        <v>60</v>
      </c>
      <c r="C1" s="14" t="s">
        <v>61</v>
      </c>
      <c r="D1" s="14" t="s">
        <v>62</v>
      </c>
      <c r="E1" s="14" t="s">
        <v>63</v>
      </c>
      <c r="F1" s="15" t="s">
        <v>64</v>
      </c>
      <c r="G1" s="15" t="s">
        <v>65</v>
      </c>
      <c r="H1" s="15" t="s">
        <v>66</v>
      </c>
      <c r="I1" s="14" t="s">
        <v>67</v>
      </c>
      <c r="J1" s="14" t="s">
        <v>68</v>
      </c>
      <c r="K1" s="16" t="s">
        <v>69</v>
      </c>
      <c r="L1" s="16" t="s">
        <v>70</v>
      </c>
      <c r="M1" s="14" t="s">
        <v>71</v>
      </c>
      <c r="N1" s="15" t="s">
        <v>72</v>
      </c>
      <c r="O1" s="15" t="s">
        <v>73</v>
      </c>
      <c r="P1" s="15" t="s">
        <v>74</v>
      </c>
      <c r="Q1" s="17" t="s">
        <v>16</v>
      </c>
      <c r="R1" s="17" t="s">
        <v>75</v>
      </c>
      <c r="S1" s="17" t="s">
        <v>17</v>
      </c>
      <c r="T1" s="17" t="s">
        <v>76</v>
      </c>
    </row>
    <row r="2" spans="1:20" ht="14" x14ac:dyDescent="0.15">
      <c r="A2" s="18">
        <v>46069</v>
      </c>
      <c r="B2" s="19" t="s">
        <v>20</v>
      </c>
      <c r="C2" s="19" t="s">
        <v>21</v>
      </c>
      <c r="D2" s="19"/>
      <c r="E2" s="19"/>
      <c r="F2" s="20"/>
      <c r="G2" s="20"/>
      <c r="H2" s="20"/>
      <c r="I2" s="19"/>
      <c r="R2" s="9"/>
      <c r="T2" s="12"/>
    </row>
    <row r="3" spans="1:20" ht="14" x14ac:dyDescent="0.15">
      <c r="A3" s="18">
        <v>46069</v>
      </c>
      <c r="B3" s="19" t="s">
        <v>20</v>
      </c>
      <c r="C3" s="19" t="s">
        <v>21</v>
      </c>
      <c r="D3" s="19"/>
      <c r="E3" s="19"/>
      <c r="F3" s="20"/>
      <c r="G3" s="20"/>
      <c r="H3" s="20"/>
      <c r="I3" s="19"/>
      <c r="R3" s="9"/>
      <c r="T3" s="12"/>
    </row>
    <row r="4" spans="1:20" ht="14" x14ac:dyDescent="0.15">
      <c r="A4" s="18">
        <v>46069</v>
      </c>
      <c r="B4" s="19" t="s">
        <v>20</v>
      </c>
      <c r="C4" s="19" t="s">
        <v>21</v>
      </c>
      <c r="D4" s="19"/>
      <c r="E4" s="19"/>
      <c r="F4" s="20"/>
      <c r="G4" s="20"/>
      <c r="H4" s="20"/>
      <c r="I4" s="19"/>
      <c r="R4" s="9"/>
      <c r="T4" s="12"/>
    </row>
    <row r="5" spans="1:20" ht="14" x14ac:dyDescent="0.15">
      <c r="A5" s="18">
        <v>46069</v>
      </c>
      <c r="B5" s="19" t="s">
        <v>20</v>
      </c>
      <c r="C5" s="19" t="s">
        <v>39</v>
      </c>
      <c r="D5" s="19"/>
      <c r="E5" s="19"/>
      <c r="F5" s="20"/>
      <c r="G5" s="20"/>
      <c r="H5" s="20"/>
      <c r="I5" s="19"/>
      <c r="R5" s="9"/>
      <c r="T5" s="12"/>
    </row>
    <row r="6" spans="1:20" ht="14" x14ac:dyDescent="0.15">
      <c r="A6" s="18">
        <v>46069</v>
      </c>
      <c r="B6" s="19" t="s">
        <v>20</v>
      </c>
      <c r="C6" s="19" t="s">
        <v>50</v>
      </c>
      <c r="D6" s="19"/>
      <c r="E6" s="19"/>
      <c r="F6" s="20"/>
      <c r="G6" s="20"/>
      <c r="H6" s="20"/>
      <c r="I6" s="19"/>
      <c r="R6" s="9"/>
      <c r="T6" s="12"/>
    </row>
    <row r="7" spans="1:20" ht="14" x14ac:dyDescent="0.15">
      <c r="A7" s="18">
        <v>46069</v>
      </c>
      <c r="B7" s="19" t="s">
        <v>20</v>
      </c>
      <c r="C7" s="19" t="s">
        <v>27</v>
      </c>
      <c r="D7" s="19"/>
      <c r="E7" s="19"/>
      <c r="F7" s="20"/>
      <c r="G7" s="20"/>
      <c r="H7" s="20"/>
      <c r="I7" s="19"/>
      <c r="R7" s="9"/>
      <c r="T7" s="12"/>
    </row>
    <row r="8" spans="1:20" ht="14" x14ac:dyDescent="0.15">
      <c r="A8" s="18">
        <v>46069</v>
      </c>
      <c r="B8" s="19" t="s">
        <v>20</v>
      </c>
      <c r="C8" s="19" t="s">
        <v>39</v>
      </c>
      <c r="D8" s="19"/>
      <c r="E8" s="19"/>
      <c r="F8" s="20"/>
      <c r="G8" s="20"/>
      <c r="H8" s="20"/>
      <c r="I8" s="19"/>
      <c r="R8" s="9"/>
      <c r="T8" s="12"/>
    </row>
    <row r="9" spans="1:20" ht="14" x14ac:dyDescent="0.15">
      <c r="A9" s="18">
        <v>46069</v>
      </c>
      <c r="B9" s="19" t="s">
        <v>20</v>
      </c>
      <c r="C9" s="19" t="s">
        <v>39</v>
      </c>
      <c r="D9" s="19"/>
      <c r="E9" s="19"/>
      <c r="F9" s="20"/>
      <c r="G9" s="20"/>
      <c r="H9" s="20"/>
      <c r="I9" s="19"/>
      <c r="R9" s="9"/>
      <c r="T9" s="12"/>
    </row>
    <row r="10" spans="1:20" ht="14" x14ac:dyDescent="0.15">
      <c r="A10" s="18">
        <v>46069</v>
      </c>
      <c r="B10" s="19" t="s">
        <v>20</v>
      </c>
      <c r="C10" s="19" t="s">
        <v>39</v>
      </c>
      <c r="D10" s="19"/>
      <c r="E10" s="19"/>
      <c r="F10" s="20"/>
      <c r="G10" s="20"/>
      <c r="H10" s="20"/>
      <c r="I10" s="19"/>
      <c r="R10" s="9"/>
      <c r="T10" s="12"/>
    </row>
    <row r="11" spans="1:20" ht="14" x14ac:dyDescent="0.15">
      <c r="A11" s="18">
        <v>46069</v>
      </c>
      <c r="B11" s="19" t="s">
        <v>20</v>
      </c>
      <c r="C11" s="19" t="s">
        <v>50</v>
      </c>
      <c r="D11" s="19"/>
      <c r="E11" s="19"/>
      <c r="F11" s="20"/>
      <c r="G11" s="20"/>
      <c r="H11" s="20"/>
      <c r="I11" s="19"/>
      <c r="R11" s="9"/>
      <c r="T11" s="12"/>
    </row>
    <row r="12" spans="1:20" ht="14" x14ac:dyDescent="0.15">
      <c r="A12" s="18">
        <v>46069</v>
      </c>
      <c r="B12" s="19" t="s">
        <v>20</v>
      </c>
      <c r="C12" s="19" t="s">
        <v>54</v>
      </c>
      <c r="D12" s="19"/>
      <c r="E12" s="19"/>
      <c r="F12" s="20"/>
      <c r="G12" s="20"/>
      <c r="H12" s="20"/>
      <c r="I12" s="19"/>
      <c r="R12" s="9"/>
      <c r="T12" s="12"/>
    </row>
    <row r="13" spans="1:20" ht="14" x14ac:dyDescent="0.15">
      <c r="A13" s="18">
        <v>46069</v>
      </c>
      <c r="B13" s="19" t="s">
        <v>20</v>
      </c>
      <c r="C13" s="19" t="s">
        <v>52</v>
      </c>
      <c r="D13" s="19"/>
      <c r="E13" s="19"/>
      <c r="F13" s="20"/>
      <c r="G13" s="20"/>
      <c r="H13" s="20"/>
      <c r="I13" s="19"/>
      <c r="R13" s="9"/>
      <c r="T13" s="12"/>
    </row>
    <row r="14" spans="1:20" ht="14" x14ac:dyDescent="0.15">
      <c r="A14" s="18">
        <v>46069</v>
      </c>
      <c r="B14" s="19" t="s">
        <v>26</v>
      </c>
      <c r="C14" s="19" t="s">
        <v>21</v>
      </c>
      <c r="D14" s="19"/>
      <c r="E14" s="19"/>
      <c r="F14" s="20"/>
      <c r="G14" s="20"/>
      <c r="H14" s="20"/>
      <c r="I14" s="19"/>
      <c r="R14" s="9"/>
      <c r="T14" s="12"/>
    </row>
    <row r="15" spans="1:20" ht="14" x14ac:dyDescent="0.15">
      <c r="A15" s="18">
        <v>46069</v>
      </c>
      <c r="B15" s="19" t="s">
        <v>26</v>
      </c>
      <c r="C15" s="19" t="s">
        <v>21</v>
      </c>
      <c r="D15" s="19"/>
      <c r="E15" s="19"/>
      <c r="F15" s="20"/>
      <c r="G15" s="20"/>
      <c r="H15" s="20"/>
      <c r="I15" s="19"/>
      <c r="R15" s="9"/>
      <c r="T15" s="12"/>
    </row>
    <row r="16" spans="1:20" ht="14" x14ac:dyDescent="0.15">
      <c r="A16" s="18">
        <v>46069</v>
      </c>
      <c r="B16" s="19" t="s">
        <v>26</v>
      </c>
      <c r="C16" s="19" t="s">
        <v>21</v>
      </c>
      <c r="D16" s="19"/>
      <c r="E16" s="19"/>
      <c r="F16" s="20"/>
      <c r="G16" s="20"/>
      <c r="H16" s="20"/>
      <c r="I16" s="19"/>
      <c r="R16" s="9"/>
      <c r="T16" s="12"/>
    </row>
    <row r="17" spans="1:20" ht="14" x14ac:dyDescent="0.15">
      <c r="A17" s="18">
        <v>46069</v>
      </c>
      <c r="B17" s="19" t="s">
        <v>26</v>
      </c>
      <c r="C17" s="19" t="s">
        <v>21</v>
      </c>
      <c r="D17" s="19"/>
      <c r="E17" s="19"/>
      <c r="F17" s="20"/>
      <c r="G17" s="20"/>
      <c r="H17" s="20"/>
      <c r="I17" s="19"/>
      <c r="R17" s="9"/>
      <c r="T17" s="12"/>
    </row>
    <row r="18" spans="1:20" ht="14" x14ac:dyDescent="0.15">
      <c r="A18" s="18">
        <v>46069</v>
      </c>
      <c r="B18" s="19" t="s">
        <v>26</v>
      </c>
      <c r="C18" s="19" t="s">
        <v>21</v>
      </c>
      <c r="D18" s="19"/>
      <c r="E18" s="19"/>
      <c r="F18" s="20"/>
      <c r="G18" s="20"/>
      <c r="H18" s="20"/>
      <c r="I18" s="19"/>
      <c r="R18" s="9"/>
      <c r="T18" s="12"/>
    </row>
    <row r="19" spans="1:20" ht="14" x14ac:dyDescent="0.15">
      <c r="A19" s="18">
        <v>46069</v>
      </c>
      <c r="B19" s="19" t="s">
        <v>26</v>
      </c>
      <c r="C19" s="19" t="s">
        <v>50</v>
      </c>
      <c r="D19" s="19"/>
      <c r="E19" s="19"/>
      <c r="F19" s="20"/>
      <c r="G19" s="20"/>
      <c r="H19" s="20"/>
      <c r="I19" s="19"/>
      <c r="R19" s="9"/>
      <c r="T19" s="12"/>
    </row>
    <row r="20" spans="1:20" ht="14" x14ac:dyDescent="0.15">
      <c r="A20" s="18">
        <v>46069</v>
      </c>
      <c r="B20" s="19" t="s">
        <v>26</v>
      </c>
      <c r="C20" s="19" t="s">
        <v>52</v>
      </c>
      <c r="D20" s="19"/>
      <c r="E20" s="19"/>
      <c r="F20" s="20"/>
      <c r="G20" s="20"/>
      <c r="H20" s="20"/>
      <c r="I20" s="19"/>
      <c r="R20" s="9"/>
      <c r="T20" s="12"/>
    </row>
    <row r="21" spans="1:20" ht="14" x14ac:dyDescent="0.15">
      <c r="A21" s="18">
        <v>46069</v>
      </c>
      <c r="B21" s="19" t="s">
        <v>26</v>
      </c>
      <c r="C21" s="19" t="s">
        <v>21</v>
      </c>
      <c r="D21" s="19"/>
      <c r="E21" s="19"/>
      <c r="F21" s="20"/>
      <c r="G21" s="20"/>
      <c r="H21" s="20"/>
      <c r="I21" s="19"/>
      <c r="R21" s="9"/>
      <c r="T21" s="12"/>
    </row>
    <row r="22" spans="1:20" ht="14" x14ac:dyDescent="0.15">
      <c r="A22" s="18">
        <v>46069</v>
      </c>
      <c r="B22" s="19" t="s">
        <v>26</v>
      </c>
      <c r="C22" s="19" t="s">
        <v>43</v>
      </c>
      <c r="D22" s="19"/>
      <c r="E22" s="19"/>
      <c r="F22" s="20"/>
      <c r="G22" s="20"/>
      <c r="H22" s="20"/>
      <c r="I22" s="19"/>
      <c r="R22" s="9"/>
      <c r="T22" s="12"/>
    </row>
    <row r="23" spans="1:20" ht="14" x14ac:dyDescent="0.15">
      <c r="A23" s="18">
        <v>46069</v>
      </c>
      <c r="B23" s="19" t="s">
        <v>20</v>
      </c>
      <c r="C23" s="19" t="s">
        <v>43</v>
      </c>
      <c r="D23" s="19"/>
      <c r="E23" s="19"/>
      <c r="F23" s="20"/>
      <c r="G23" s="20"/>
      <c r="H23" s="20"/>
      <c r="I23" s="19"/>
      <c r="R23" s="9"/>
      <c r="T23" s="12"/>
    </row>
    <row r="24" spans="1:20" ht="14" x14ac:dyDescent="0.15">
      <c r="A24" s="18">
        <v>46069</v>
      </c>
      <c r="B24" s="19" t="s">
        <v>20</v>
      </c>
      <c r="C24" s="19" t="s">
        <v>48</v>
      </c>
      <c r="D24" s="19"/>
      <c r="E24" s="19"/>
      <c r="F24" s="20"/>
      <c r="G24" s="20"/>
      <c r="H24" s="20"/>
      <c r="I24" s="19"/>
      <c r="R24" s="9"/>
      <c r="T24" s="12"/>
    </row>
    <row r="25" spans="1:20" ht="14" x14ac:dyDescent="0.15">
      <c r="A25" s="18">
        <v>46069</v>
      </c>
      <c r="B25" s="19" t="s">
        <v>26</v>
      </c>
      <c r="C25" s="19" t="s">
        <v>48</v>
      </c>
      <c r="D25" s="19"/>
      <c r="E25" s="19"/>
      <c r="F25" s="20"/>
      <c r="G25" s="20"/>
      <c r="H25" s="20"/>
      <c r="I25" s="19"/>
      <c r="R25" s="9"/>
      <c r="T25" s="12"/>
    </row>
    <row r="26" spans="1:20" ht="14" x14ac:dyDescent="0.15">
      <c r="A26" s="18">
        <v>46069</v>
      </c>
      <c r="B26" s="19" t="s">
        <v>32</v>
      </c>
      <c r="C26" s="19" t="s">
        <v>39</v>
      </c>
      <c r="D26" s="19"/>
      <c r="E26" s="19"/>
      <c r="F26" s="20"/>
      <c r="G26" s="20"/>
      <c r="H26" s="20"/>
      <c r="I26" s="19"/>
      <c r="R26" s="9"/>
      <c r="T26" s="12"/>
    </row>
    <row r="27" spans="1:20" ht="14" x14ac:dyDescent="0.15">
      <c r="A27" s="18">
        <v>46069</v>
      </c>
      <c r="B27" s="19" t="s">
        <v>38</v>
      </c>
      <c r="C27" s="19" t="s">
        <v>39</v>
      </c>
      <c r="D27" s="19"/>
      <c r="E27" s="19"/>
      <c r="F27" s="20"/>
      <c r="G27" s="20"/>
      <c r="H27" s="20"/>
      <c r="I27" s="19"/>
      <c r="R27" s="9"/>
      <c r="T27" s="12"/>
    </row>
    <row r="28" spans="1:20" ht="14" x14ac:dyDescent="0.15">
      <c r="A28" s="18">
        <v>46069</v>
      </c>
      <c r="B28" s="19" t="s">
        <v>20</v>
      </c>
      <c r="C28" s="19" t="s">
        <v>56</v>
      </c>
      <c r="D28" s="19"/>
      <c r="E28" s="19"/>
      <c r="F28" s="20"/>
      <c r="G28" s="20"/>
      <c r="H28" s="20"/>
      <c r="I28" s="19"/>
      <c r="R28" s="9"/>
      <c r="T28" s="12"/>
    </row>
    <row r="29" spans="1:20" ht="14" x14ac:dyDescent="0.15">
      <c r="A29" s="18">
        <v>46069</v>
      </c>
      <c r="B29" s="19" t="s">
        <v>26</v>
      </c>
      <c r="C29" s="19" t="s">
        <v>56</v>
      </c>
      <c r="D29" s="19"/>
      <c r="E29" s="19"/>
      <c r="F29" s="20"/>
      <c r="G29" s="20"/>
      <c r="H29" s="20"/>
      <c r="I29" s="19"/>
      <c r="R29" s="9"/>
      <c r="T29" s="12"/>
    </row>
    <row r="30" spans="1:20" ht="14" x14ac:dyDescent="0.15">
      <c r="A30" s="18">
        <v>46069</v>
      </c>
      <c r="B30" s="19" t="s">
        <v>20</v>
      </c>
      <c r="C30" s="19" t="s">
        <v>43</v>
      </c>
      <c r="D30" s="19"/>
      <c r="E30" s="19"/>
      <c r="F30" s="20"/>
      <c r="G30" s="20"/>
      <c r="H30" s="20"/>
      <c r="I30" s="19"/>
      <c r="R30" s="9"/>
      <c r="T30" s="12"/>
    </row>
    <row r="31" spans="1:20" ht="14" x14ac:dyDescent="0.15">
      <c r="A31" s="18">
        <v>46070</v>
      </c>
      <c r="B31" s="19" t="s">
        <v>20</v>
      </c>
      <c r="C31" s="19" t="s">
        <v>21</v>
      </c>
      <c r="D31" s="19"/>
      <c r="E31" s="19"/>
      <c r="F31" s="20"/>
      <c r="G31" s="20"/>
      <c r="H31" s="20"/>
      <c r="I31" s="19"/>
      <c r="R31" s="9"/>
      <c r="T31" s="12"/>
    </row>
    <row r="32" spans="1:20" ht="14" x14ac:dyDescent="0.15">
      <c r="A32" s="18">
        <v>46070</v>
      </c>
      <c r="B32" s="19" t="s">
        <v>20</v>
      </c>
      <c r="C32" s="19" t="s">
        <v>21</v>
      </c>
      <c r="D32" s="19"/>
      <c r="E32" s="19"/>
      <c r="F32" s="20"/>
      <c r="G32" s="20"/>
      <c r="H32" s="20"/>
      <c r="I32" s="19"/>
      <c r="R32" s="9"/>
      <c r="T32" s="12"/>
    </row>
    <row r="33" spans="1:20" ht="14" x14ac:dyDescent="0.15">
      <c r="A33" s="18">
        <v>46070</v>
      </c>
      <c r="B33" s="19" t="s">
        <v>20</v>
      </c>
      <c r="C33" s="19" t="s">
        <v>21</v>
      </c>
      <c r="D33" s="19"/>
      <c r="E33" s="19"/>
      <c r="F33" s="20"/>
      <c r="G33" s="20"/>
      <c r="H33" s="20"/>
      <c r="I33" s="19"/>
      <c r="R33" s="9"/>
      <c r="T33" s="12"/>
    </row>
    <row r="34" spans="1:20" ht="14" x14ac:dyDescent="0.15">
      <c r="A34" s="18">
        <v>46070</v>
      </c>
      <c r="B34" s="19" t="s">
        <v>20</v>
      </c>
      <c r="C34" s="19" t="s">
        <v>39</v>
      </c>
      <c r="D34" s="19"/>
      <c r="E34" s="19"/>
      <c r="F34" s="20"/>
      <c r="G34" s="20"/>
      <c r="H34" s="20"/>
      <c r="I34" s="19"/>
      <c r="R34" s="9"/>
      <c r="T34" s="12"/>
    </row>
    <row r="35" spans="1:20" ht="14" x14ac:dyDescent="0.15">
      <c r="A35" s="18">
        <v>46070</v>
      </c>
      <c r="B35" s="19" t="s">
        <v>20</v>
      </c>
      <c r="C35" s="19" t="s">
        <v>50</v>
      </c>
      <c r="D35" s="19"/>
      <c r="E35" s="19"/>
      <c r="F35" s="20"/>
      <c r="G35" s="20"/>
      <c r="H35" s="20"/>
      <c r="I35" s="19"/>
      <c r="R35" s="9"/>
      <c r="T35" s="12"/>
    </row>
    <row r="36" spans="1:20" ht="14" x14ac:dyDescent="0.15">
      <c r="A36" s="18">
        <v>46070</v>
      </c>
      <c r="B36" s="19" t="s">
        <v>20</v>
      </c>
      <c r="C36" s="19" t="s">
        <v>27</v>
      </c>
      <c r="D36" s="19"/>
      <c r="E36" s="19"/>
      <c r="F36" s="20"/>
      <c r="G36" s="20"/>
      <c r="H36" s="20"/>
      <c r="I36" s="19"/>
      <c r="R36" s="9"/>
      <c r="T36" s="12"/>
    </row>
    <row r="37" spans="1:20" ht="14" x14ac:dyDescent="0.15">
      <c r="A37" s="18">
        <v>46070</v>
      </c>
      <c r="B37" s="19" t="s">
        <v>20</v>
      </c>
      <c r="C37" s="19" t="s">
        <v>39</v>
      </c>
      <c r="D37" s="19"/>
      <c r="E37" s="19"/>
      <c r="F37" s="20"/>
      <c r="G37" s="20"/>
      <c r="H37" s="20"/>
      <c r="I37" s="19"/>
      <c r="R37" s="9"/>
      <c r="T37" s="12"/>
    </row>
    <row r="38" spans="1:20" ht="14" x14ac:dyDescent="0.15">
      <c r="A38" s="18">
        <v>46070</v>
      </c>
      <c r="B38" s="19" t="s">
        <v>20</v>
      </c>
      <c r="C38" s="19" t="s">
        <v>39</v>
      </c>
      <c r="D38" s="19"/>
      <c r="E38" s="19"/>
      <c r="F38" s="20"/>
      <c r="G38" s="20"/>
      <c r="H38" s="20"/>
      <c r="I38" s="19"/>
      <c r="R38" s="9"/>
      <c r="T38" s="12"/>
    </row>
    <row r="39" spans="1:20" ht="14" x14ac:dyDescent="0.15">
      <c r="A39" s="18">
        <v>46070</v>
      </c>
      <c r="B39" s="19" t="s">
        <v>20</v>
      </c>
      <c r="C39" s="19" t="s">
        <v>39</v>
      </c>
      <c r="D39" s="19"/>
      <c r="E39" s="19"/>
      <c r="F39" s="20"/>
      <c r="G39" s="20"/>
      <c r="H39" s="20"/>
      <c r="I39" s="19"/>
      <c r="R39" s="9"/>
      <c r="T39" s="12"/>
    </row>
    <row r="40" spans="1:20" ht="14" x14ac:dyDescent="0.15">
      <c r="A40" s="18">
        <v>46070</v>
      </c>
      <c r="B40" s="19" t="s">
        <v>20</v>
      </c>
      <c r="C40" s="19" t="s">
        <v>50</v>
      </c>
      <c r="D40" s="19"/>
      <c r="E40" s="19"/>
      <c r="F40" s="20"/>
      <c r="G40" s="20"/>
      <c r="H40" s="20"/>
      <c r="I40" s="19"/>
      <c r="R40" s="9"/>
      <c r="T40" s="12"/>
    </row>
    <row r="41" spans="1:20" ht="14" x14ac:dyDescent="0.15">
      <c r="A41" s="18">
        <v>46070</v>
      </c>
      <c r="B41" s="19" t="s">
        <v>20</v>
      </c>
      <c r="C41" s="19" t="s">
        <v>54</v>
      </c>
      <c r="D41" s="19"/>
      <c r="E41" s="19"/>
      <c r="F41" s="20"/>
      <c r="G41" s="20"/>
      <c r="H41" s="20"/>
      <c r="I41" s="19"/>
      <c r="R41" s="9"/>
      <c r="T41" s="12"/>
    </row>
    <row r="42" spans="1:20" ht="14" x14ac:dyDescent="0.15">
      <c r="A42" s="18">
        <v>46070</v>
      </c>
      <c r="B42" s="19" t="s">
        <v>20</v>
      </c>
      <c r="C42" s="19" t="s">
        <v>52</v>
      </c>
      <c r="D42" s="19"/>
      <c r="E42" s="19"/>
      <c r="F42" s="20"/>
      <c r="G42" s="20"/>
      <c r="H42" s="20"/>
      <c r="I42" s="19"/>
      <c r="R42" s="9"/>
      <c r="T42" s="12"/>
    </row>
    <row r="43" spans="1:20" ht="14" x14ac:dyDescent="0.15">
      <c r="A43" s="18">
        <v>46070</v>
      </c>
      <c r="B43" s="19" t="s">
        <v>26</v>
      </c>
      <c r="C43" s="19" t="s">
        <v>21</v>
      </c>
      <c r="D43" s="19"/>
      <c r="E43" s="19"/>
      <c r="F43" s="20"/>
      <c r="G43" s="20"/>
      <c r="H43" s="20"/>
      <c r="I43" s="19"/>
      <c r="R43" s="9"/>
      <c r="T43" s="12"/>
    </row>
    <row r="44" spans="1:20" ht="14" x14ac:dyDescent="0.15">
      <c r="A44" s="18">
        <v>46070</v>
      </c>
      <c r="B44" s="19" t="s">
        <v>26</v>
      </c>
      <c r="C44" s="19" t="s">
        <v>21</v>
      </c>
      <c r="D44" s="19"/>
      <c r="E44" s="19"/>
      <c r="F44" s="20"/>
      <c r="G44" s="20"/>
      <c r="H44" s="20"/>
      <c r="I44" s="19"/>
      <c r="R44" s="9"/>
      <c r="T44" s="12"/>
    </row>
    <row r="45" spans="1:20" ht="14" x14ac:dyDescent="0.15">
      <c r="A45" s="18">
        <v>46070</v>
      </c>
      <c r="B45" s="19" t="s">
        <v>26</v>
      </c>
      <c r="C45" s="19" t="s">
        <v>21</v>
      </c>
      <c r="D45" s="19"/>
      <c r="E45" s="19"/>
      <c r="F45" s="20"/>
      <c r="G45" s="20"/>
      <c r="H45" s="20"/>
      <c r="I45" s="19"/>
      <c r="R45" s="9"/>
      <c r="T45" s="12"/>
    </row>
    <row r="46" spans="1:20" ht="14" x14ac:dyDescent="0.15">
      <c r="A46" s="18">
        <v>46070</v>
      </c>
      <c r="B46" s="19" t="s">
        <v>26</v>
      </c>
      <c r="C46" s="19" t="s">
        <v>21</v>
      </c>
      <c r="D46" s="19"/>
      <c r="E46" s="19"/>
      <c r="F46" s="20"/>
      <c r="G46" s="20"/>
      <c r="H46" s="20"/>
      <c r="I46" s="19"/>
      <c r="R46" s="9"/>
      <c r="T46" s="12"/>
    </row>
    <row r="47" spans="1:20" ht="14" x14ac:dyDescent="0.15">
      <c r="A47" s="18">
        <v>46070</v>
      </c>
      <c r="B47" s="19" t="s">
        <v>26</v>
      </c>
      <c r="C47" s="19" t="s">
        <v>21</v>
      </c>
      <c r="D47" s="19"/>
      <c r="E47" s="19"/>
      <c r="F47" s="20"/>
      <c r="G47" s="20"/>
      <c r="H47" s="20"/>
      <c r="I47" s="19"/>
      <c r="R47" s="9"/>
      <c r="T47" s="12"/>
    </row>
    <row r="48" spans="1:20" ht="14" x14ac:dyDescent="0.15">
      <c r="A48" s="18">
        <v>46070</v>
      </c>
      <c r="B48" s="19" t="s">
        <v>26</v>
      </c>
      <c r="C48" s="19" t="s">
        <v>50</v>
      </c>
      <c r="D48" s="19"/>
      <c r="E48" s="19"/>
      <c r="F48" s="20"/>
      <c r="G48" s="20"/>
      <c r="H48" s="20"/>
      <c r="I48" s="19"/>
      <c r="R48" s="9"/>
      <c r="T48" s="12"/>
    </row>
    <row r="49" spans="1:20" ht="14" x14ac:dyDescent="0.15">
      <c r="A49" s="18">
        <v>46070</v>
      </c>
      <c r="B49" s="19" t="s">
        <v>26</v>
      </c>
      <c r="C49" s="19" t="s">
        <v>52</v>
      </c>
      <c r="D49" s="19"/>
      <c r="E49" s="19"/>
      <c r="F49" s="20"/>
      <c r="G49" s="20"/>
      <c r="H49" s="20"/>
      <c r="I49" s="19"/>
      <c r="R49" s="9"/>
      <c r="T49" s="12"/>
    </row>
    <row r="50" spans="1:20" ht="14" x14ac:dyDescent="0.15">
      <c r="A50" s="18">
        <v>46070</v>
      </c>
      <c r="B50" s="19" t="s">
        <v>26</v>
      </c>
      <c r="C50" s="19" t="s">
        <v>21</v>
      </c>
      <c r="D50" s="19"/>
      <c r="E50" s="19"/>
      <c r="F50" s="20"/>
      <c r="G50" s="20"/>
      <c r="H50" s="20"/>
      <c r="I50" s="19"/>
      <c r="R50" s="9"/>
      <c r="T50" s="12"/>
    </row>
    <row r="51" spans="1:20" ht="14" x14ac:dyDescent="0.15">
      <c r="A51" s="18">
        <v>46070</v>
      </c>
      <c r="B51" s="19" t="s">
        <v>26</v>
      </c>
      <c r="C51" s="19" t="s">
        <v>43</v>
      </c>
      <c r="D51" s="19"/>
      <c r="E51" s="19"/>
      <c r="F51" s="20"/>
      <c r="G51" s="20"/>
      <c r="H51" s="20"/>
      <c r="I51" s="19"/>
      <c r="R51" s="9"/>
      <c r="T51" s="12"/>
    </row>
    <row r="52" spans="1:20" ht="14" x14ac:dyDescent="0.15">
      <c r="A52" s="18">
        <v>46070</v>
      </c>
      <c r="B52" s="19" t="s">
        <v>20</v>
      </c>
      <c r="C52" s="19" t="s">
        <v>43</v>
      </c>
      <c r="D52" s="19"/>
      <c r="E52" s="19"/>
      <c r="F52" s="20"/>
      <c r="G52" s="20"/>
      <c r="H52" s="20"/>
      <c r="I52" s="19"/>
      <c r="R52" s="9"/>
      <c r="T52" s="12"/>
    </row>
    <row r="53" spans="1:20" ht="14" x14ac:dyDescent="0.15">
      <c r="A53" s="18">
        <v>46070</v>
      </c>
      <c r="B53" s="19" t="s">
        <v>20</v>
      </c>
      <c r="C53" s="19" t="s">
        <v>48</v>
      </c>
      <c r="D53" s="19"/>
      <c r="E53" s="19"/>
      <c r="F53" s="20"/>
      <c r="G53" s="20"/>
      <c r="H53" s="20"/>
      <c r="I53" s="19"/>
      <c r="R53" s="9"/>
      <c r="T53" s="12"/>
    </row>
    <row r="54" spans="1:20" ht="14" x14ac:dyDescent="0.15">
      <c r="A54" s="18">
        <v>46070</v>
      </c>
      <c r="B54" s="19" t="s">
        <v>26</v>
      </c>
      <c r="C54" s="19" t="s">
        <v>48</v>
      </c>
      <c r="D54" s="19"/>
      <c r="E54" s="19"/>
      <c r="F54" s="20"/>
      <c r="G54" s="20"/>
      <c r="H54" s="20"/>
      <c r="I54" s="19"/>
      <c r="R54" s="9"/>
      <c r="T54" s="12"/>
    </row>
    <row r="55" spans="1:20" ht="14" x14ac:dyDescent="0.15">
      <c r="A55" s="18">
        <v>46070</v>
      </c>
      <c r="B55" s="19" t="s">
        <v>32</v>
      </c>
      <c r="C55" s="19" t="s">
        <v>39</v>
      </c>
      <c r="D55" s="19"/>
      <c r="E55" s="19"/>
      <c r="F55" s="20"/>
      <c r="G55" s="20"/>
      <c r="H55" s="20"/>
      <c r="I55" s="19"/>
      <c r="R55" s="9"/>
      <c r="T55" s="12"/>
    </row>
    <row r="56" spans="1:20" ht="14" x14ac:dyDescent="0.15">
      <c r="A56" s="18">
        <v>46070</v>
      </c>
      <c r="B56" s="19" t="s">
        <v>38</v>
      </c>
      <c r="C56" s="19" t="s">
        <v>39</v>
      </c>
      <c r="D56" s="19"/>
      <c r="E56" s="19"/>
      <c r="F56" s="20"/>
      <c r="G56" s="20"/>
      <c r="H56" s="20"/>
      <c r="I56" s="19"/>
      <c r="R56" s="9"/>
      <c r="T56" s="12"/>
    </row>
    <row r="57" spans="1:20" ht="14" x14ac:dyDescent="0.15">
      <c r="A57" s="18">
        <v>46070</v>
      </c>
      <c r="B57" s="19" t="s">
        <v>20</v>
      </c>
      <c r="C57" s="19" t="s">
        <v>56</v>
      </c>
      <c r="D57" s="19"/>
      <c r="E57" s="19"/>
      <c r="F57" s="20"/>
      <c r="G57" s="20"/>
      <c r="H57" s="20"/>
      <c r="I57" s="19"/>
      <c r="R57" s="9"/>
      <c r="T57" s="12"/>
    </row>
    <row r="58" spans="1:20" ht="14" x14ac:dyDescent="0.15">
      <c r="A58" s="18">
        <v>46070</v>
      </c>
      <c r="B58" s="19" t="s">
        <v>26</v>
      </c>
      <c r="C58" s="19" t="s">
        <v>56</v>
      </c>
      <c r="D58" s="19"/>
      <c r="E58" s="19"/>
      <c r="F58" s="20"/>
      <c r="G58" s="20"/>
      <c r="H58" s="20"/>
      <c r="I58" s="19"/>
      <c r="R58" s="9"/>
      <c r="T58" s="12"/>
    </row>
    <row r="59" spans="1:20" ht="14" x14ac:dyDescent="0.15">
      <c r="A59" s="18">
        <v>46070</v>
      </c>
      <c r="B59" s="19" t="s">
        <v>20</v>
      </c>
      <c r="C59" s="19" t="s">
        <v>43</v>
      </c>
      <c r="D59" s="19"/>
      <c r="E59" s="19"/>
      <c r="F59" s="20"/>
      <c r="G59" s="20"/>
      <c r="H59" s="20"/>
      <c r="I59" s="19"/>
      <c r="R59" s="9"/>
      <c r="T59" s="12"/>
    </row>
    <row r="60" spans="1:20" ht="14" x14ac:dyDescent="0.15">
      <c r="A60" s="18">
        <v>46084</v>
      </c>
      <c r="B60" s="19" t="s">
        <v>20</v>
      </c>
      <c r="C60" s="19" t="s">
        <v>21</v>
      </c>
      <c r="D60" s="19"/>
      <c r="E60" s="19"/>
      <c r="F60" s="20"/>
      <c r="G60" s="20"/>
      <c r="H60" s="20"/>
      <c r="I60" s="19"/>
      <c r="R60" s="9"/>
      <c r="T60" s="12"/>
    </row>
    <row r="61" spans="1:20" ht="14" x14ac:dyDescent="0.15">
      <c r="A61" s="18">
        <v>46084</v>
      </c>
      <c r="B61" s="19" t="s">
        <v>20</v>
      </c>
      <c r="C61" s="19" t="s">
        <v>21</v>
      </c>
      <c r="D61" s="19"/>
      <c r="E61" s="19"/>
      <c r="F61" s="20"/>
      <c r="G61" s="20"/>
      <c r="H61" s="20"/>
      <c r="I61" s="19"/>
      <c r="R61" s="9"/>
      <c r="T61" s="12"/>
    </row>
    <row r="62" spans="1:20" ht="14" x14ac:dyDescent="0.15">
      <c r="A62" s="18">
        <v>46084</v>
      </c>
      <c r="B62" s="19" t="s">
        <v>20</v>
      </c>
      <c r="C62" s="19" t="s">
        <v>21</v>
      </c>
      <c r="D62" s="19"/>
      <c r="E62" s="19"/>
      <c r="F62" s="20"/>
      <c r="G62" s="20"/>
      <c r="H62" s="20"/>
      <c r="I62" s="19"/>
      <c r="R62" s="9"/>
      <c r="T62" s="12"/>
    </row>
    <row r="63" spans="1:20" ht="14" x14ac:dyDescent="0.15">
      <c r="A63" s="18">
        <v>46084</v>
      </c>
      <c r="B63" s="19" t="s">
        <v>20</v>
      </c>
      <c r="C63" s="19" t="s">
        <v>39</v>
      </c>
      <c r="D63" s="19"/>
      <c r="E63" s="19"/>
      <c r="F63" s="20"/>
      <c r="G63" s="20"/>
      <c r="H63" s="20"/>
      <c r="I63" s="19"/>
      <c r="R63" s="9"/>
      <c r="T63" s="12"/>
    </row>
    <row r="64" spans="1:20" ht="14" x14ac:dyDescent="0.15">
      <c r="A64" s="18">
        <v>46084</v>
      </c>
      <c r="B64" s="19" t="s">
        <v>20</v>
      </c>
      <c r="C64" s="19" t="s">
        <v>50</v>
      </c>
      <c r="D64" s="19"/>
      <c r="E64" s="19"/>
      <c r="F64" s="20"/>
      <c r="G64" s="20"/>
      <c r="H64" s="20"/>
      <c r="I64" s="19"/>
      <c r="R64" s="9"/>
      <c r="T64" s="12"/>
    </row>
    <row r="65" spans="1:20" ht="14" x14ac:dyDescent="0.15">
      <c r="A65" s="18">
        <v>46084</v>
      </c>
      <c r="B65" s="19" t="s">
        <v>20</v>
      </c>
      <c r="C65" s="19" t="s">
        <v>39</v>
      </c>
      <c r="D65" s="19"/>
      <c r="E65" s="19"/>
      <c r="F65" s="20"/>
      <c r="G65" s="20"/>
      <c r="H65" s="20"/>
      <c r="I65" s="19"/>
      <c r="R65" s="9"/>
      <c r="T65" s="12"/>
    </row>
    <row r="66" spans="1:20" ht="14" x14ac:dyDescent="0.15">
      <c r="A66" s="18">
        <v>46084</v>
      </c>
      <c r="B66" s="19" t="s">
        <v>20</v>
      </c>
      <c r="C66" s="19" t="s">
        <v>39</v>
      </c>
      <c r="D66" s="19"/>
      <c r="E66" s="19"/>
      <c r="F66" s="20"/>
      <c r="G66" s="20"/>
      <c r="H66" s="20"/>
      <c r="I66" s="19"/>
      <c r="R66" s="9"/>
      <c r="T66" s="12"/>
    </row>
    <row r="67" spans="1:20" ht="14" x14ac:dyDescent="0.15">
      <c r="A67" s="18">
        <v>46084</v>
      </c>
      <c r="B67" s="19" t="s">
        <v>20</v>
      </c>
      <c r="C67" s="19" t="s">
        <v>39</v>
      </c>
      <c r="D67" s="19"/>
      <c r="E67" s="19"/>
      <c r="F67" s="20"/>
      <c r="G67" s="20"/>
      <c r="H67" s="20"/>
      <c r="I67" s="19"/>
      <c r="R67" s="9"/>
      <c r="T67" s="12"/>
    </row>
    <row r="68" spans="1:20" ht="14" x14ac:dyDescent="0.15">
      <c r="A68" s="18">
        <v>46084</v>
      </c>
      <c r="B68" s="19" t="s">
        <v>20</v>
      </c>
      <c r="C68" s="19" t="s">
        <v>50</v>
      </c>
      <c r="D68" s="19"/>
      <c r="E68" s="19"/>
      <c r="F68" s="20"/>
      <c r="G68" s="20"/>
      <c r="H68" s="20"/>
      <c r="I68" s="19"/>
      <c r="R68" s="9"/>
      <c r="T68" s="12"/>
    </row>
    <row r="69" spans="1:20" ht="14" x14ac:dyDescent="0.15">
      <c r="A69" s="18">
        <v>46084</v>
      </c>
      <c r="B69" s="19" t="s">
        <v>20</v>
      </c>
      <c r="C69" s="19" t="s">
        <v>54</v>
      </c>
      <c r="D69" s="19"/>
      <c r="E69" s="19"/>
      <c r="F69" s="20"/>
      <c r="G69" s="20"/>
      <c r="H69" s="20"/>
      <c r="I69" s="19"/>
      <c r="R69" s="9"/>
      <c r="T69" s="12"/>
    </row>
    <row r="70" spans="1:20" ht="14" x14ac:dyDescent="0.15">
      <c r="A70" s="18">
        <v>46084</v>
      </c>
      <c r="B70" s="19" t="s">
        <v>20</v>
      </c>
      <c r="C70" s="19" t="s">
        <v>52</v>
      </c>
      <c r="D70" s="19"/>
      <c r="E70" s="19"/>
      <c r="F70" s="20"/>
      <c r="G70" s="20"/>
      <c r="H70" s="20"/>
      <c r="I70" s="19"/>
      <c r="R70" s="9"/>
      <c r="T70" s="12"/>
    </row>
    <row r="71" spans="1:20" ht="14" x14ac:dyDescent="0.15">
      <c r="A71" s="18">
        <v>46084</v>
      </c>
      <c r="B71" s="19" t="s">
        <v>26</v>
      </c>
      <c r="C71" s="19" t="s">
        <v>21</v>
      </c>
      <c r="D71" s="19"/>
      <c r="E71" s="19"/>
      <c r="F71" s="20"/>
      <c r="G71" s="20"/>
      <c r="H71" s="20"/>
      <c r="I71" s="19"/>
      <c r="R71" s="9"/>
      <c r="T71" s="12"/>
    </row>
    <row r="72" spans="1:20" ht="14" x14ac:dyDescent="0.15">
      <c r="A72" s="18">
        <v>46084</v>
      </c>
      <c r="B72" s="19" t="s">
        <v>26</v>
      </c>
      <c r="C72" s="19" t="s">
        <v>21</v>
      </c>
      <c r="D72" s="19"/>
      <c r="E72" s="19"/>
      <c r="F72" s="20"/>
      <c r="G72" s="20"/>
      <c r="H72" s="20"/>
      <c r="I72" s="19"/>
      <c r="R72" s="9"/>
      <c r="T72" s="12"/>
    </row>
    <row r="73" spans="1:20" ht="14" x14ac:dyDescent="0.15">
      <c r="A73" s="18">
        <v>46084</v>
      </c>
      <c r="B73" s="19" t="s">
        <v>26</v>
      </c>
      <c r="C73" s="19" t="s">
        <v>21</v>
      </c>
      <c r="D73" s="19"/>
      <c r="E73" s="19"/>
      <c r="F73" s="20"/>
      <c r="G73" s="20"/>
      <c r="H73" s="20"/>
      <c r="I73" s="19"/>
      <c r="R73" s="9"/>
      <c r="T73" s="12"/>
    </row>
    <row r="74" spans="1:20" ht="14" x14ac:dyDescent="0.15">
      <c r="A74" s="18">
        <v>46084</v>
      </c>
      <c r="B74" s="19" t="s">
        <v>26</v>
      </c>
      <c r="C74" s="19" t="s">
        <v>21</v>
      </c>
      <c r="D74" s="19"/>
      <c r="E74" s="19"/>
      <c r="F74" s="20"/>
      <c r="G74" s="20"/>
      <c r="H74" s="20"/>
      <c r="I74" s="19"/>
      <c r="R74" s="9"/>
      <c r="T74" s="12"/>
    </row>
    <row r="75" spans="1:20" ht="14" x14ac:dyDescent="0.15">
      <c r="A75" s="18">
        <v>46084</v>
      </c>
      <c r="B75" s="19" t="s">
        <v>26</v>
      </c>
      <c r="C75" s="19" t="s">
        <v>21</v>
      </c>
      <c r="D75" s="19"/>
      <c r="E75" s="19"/>
      <c r="F75" s="20"/>
      <c r="G75" s="20"/>
      <c r="H75" s="20"/>
      <c r="I75" s="19"/>
      <c r="R75" s="9"/>
      <c r="T75" s="12"/>
    </row>
    <row r="76" spans="1:20" ht="14" x14ac:dyDescent="0.15">
      <c r="A76" s="18">
        <v>46084</v>
      </c>
      <c r="B76" s="19" t="s">
        <v>26</v>
      </c>
      <c r="C76" s="19" t="s">
        <v>50</v>
      </c>
      <c r="D76" s="19"/>
      <c r="E76" s="19"/>
      <c r="F76" s="20"/>
      <c r="G76" s="20"/>
      <c r="H76" s="20"/>
      <c r="I76" s="19"/>
      <c r="R76" s="9"/>
      <c r="T76" s="12"/>
    </row>
    <row r="77" spans="1:20" ht="14" x14ac:dyDescent="0.15">
      <c r="A77" s="18">
        <v>46084</v>
      </c>
      <c r="B77" s="19" t="s">
        <v>26</v>
      </c>
      <c r="C77" s="19" t="s">
        <v>52</v>
      </c>
      <c r="D77" s="19"/>
      <c r="E77" s="19"/>
      <c r="F77" s="20"/>
      <c r="G77" s="20"/>
      <c r="H77" s="20"/>
      <c r="I77" s="19"/>
      <c r="R77" s="9"/>
      <c r="T77" s="12"/>
    </row>
    <row r="78" spans="1:20" ht="14" x14ac:dyDescent="0.15">
      <c r="A78" s="18">
        <v>46084</v>
      </c>
      <c r="B78" s="19" t="s">
        <v>26</v>
      </c>
      <c r="C78" s="19" t="s">
        <v>21</v>
      </c>
      <c r="D78" s="19"/>
      <c r="E78" s="19"/>
      <c r="F78" s="20"/>
      <c r="G78" s="20"/>
      <c r="H78" s="20"/>
      <c r="I78" s="19"/>
      <c r="R78" s="9"/>
      <c r="T78" s="12"/>
    </row>
    <row r="79" spans="1:20" ht="14" x14ac:dyDescent="0.15">
      <c r="A79" s="18">
        <v>46084</v>
      </c>
      <c r="B79" s="19" t="s">
        <v>26</v>
      </c>
      <c r="C79" s="19" t="s">
        <v>43</v>
      </c>
      <c r="D79" s="19"/>
      <c r="E79" s="19"/>
      <c r="F79" s="20"/>
      <c r="G79" s="20"/>
      <c r="H79" s="20"/>
      <c r="I79" s="19"/>
      <c r="R79" s="9"/>
      <c r="T79" s="12"/>
    </row>
    <row r="80" spans="1:20" ht="14" x14ac:dyDescent="0.15">
      <c r="A80" s="18">
        <v>46084</v>
      </c>
      <c r="B80" s="19" t="s">
        <v>20</v>
      </c>
      <c r="C80" s="19" t="s">
        <v>43</v>
      </c>
      <c r="D80" s="19"/>
      <c r="E80" s="19"/>
      <c r="F80" s="20"/>
      <c r="G80" s="20"/>
      <c r="H80" s="20"/>
      <c r="I80" s="19"/>
      <c r="R80" s="9"/>
      <c r="T80" s="12"/>
    </row>
    <row r="81" spans="1:20" ht="14" x14ac:dyDescent="0.15">
      <c r="A81" s="18">
        <v>46084</v>
      </c>
      <c r="B81" s="19" t="s">
        <v>20</v>
      </c>
      <c r="C81" s="19" t="s">
        <v>48</v>
      </c>
      <c r="D81" s="19"/>
      <c r="E81" s="19"/>
      <c r="F81" s="20"/>
      <c r="G81" s="20"/>
      <c r="H81" s="20"/>
      <c r="I81" s="19"/>
      <c r="R81" s="9"/>
      <c r="T81" s="12"/>
    </row>
    <row r="82" spans="1:20" ht="14" x14ac:dyDescent="0.15">
      <c r="A82" s="18">
        <v>46084</v>
      </c>
      <c r="B82" s="19" t="s">
        <v>26</v>
      </c>
      <c r="C82" s="19" t="s">
        <v>48</v>
      </c>
      <c r="D82" s="19"/>
      <c r="E82" s="19"/>
      <c r="F82" s="20"/>
      <c r="G82" s="20"/>
      <c r="H82" s="20"/>
      <c r="I82" s="19"/>
      <c r="R82" s="9"/>
      <c r="T82" s="12"/>
    </row>
    <row r="83" spans="1:20" ht="14" x14ac:dyDescent="0.15">
      <c r="A83" s="18">
        <v>46084</v>
      </c>
      <c r="B83" s="19" t="s">
        <v>32</v>
      </c>
      <c r="C83" s="19" t="s">
        <v>39</v>
      </c>
      <c r="D83" s="19"/>
      <c r="E83" s="19"/>
      <c r="F83" s="20"/>
      <c r="G83" s="20"/>
      <c r="H83" s="20"/>
      <c r="I83" s="19"/>
      <c r="R83" s="9"/>
      <c r="T83" s="12"/>
    </row>
    <row r="84" spans="1:20" ht="14" x14ac:dyDescent="0.15">
      <c r="A84" s="18">
        <v>46084</v>
      </c>
      <c r="B84" s="19" t="s">
        <v>38</v>
      </c>
      <c r="C84" s="19" t="s">
        <v>39</v>
      </c>
      <c r="D84" s="19"/>
      <c r="E84" s="19"/>
      <c r="F84" s="20"/>
      <c r="G84" s="20"/>
      <c r="H84" s="20"/>
      <c r="I84" s="19"/>
      <c r="R84" s="9"/>
      <c r="T84" s="12"/>
    </row>
    <row r="85" spans="1:20" ht="14" x14ac:dyDescent="0.15">
      <c r="A85" s="18">
        <v>46084</v>
      </c>
      <c r="B85" s="19" t="s">
        <v>20</v>
      </c>
      <c r="C85" s="19" t="s">
        <v>56</v>
      </c>
      <c r="D85" s="19"/>
      <c r="E85" s="19"/>
      <c r="F85" s="20"/>
      <c r="G85" s="20"/>
      <c r="H85" s="20"/>
      <c r="I85" s="19"/>
      <c r="R85" s="9"/>
      <c r="T85" s="12"/>
    </row>
    <row r="86" spans="1:20" ht="14" x14ac:dyDescent="0.15">
      <c r="A86" s="18">
        <v>46084</v>
      </c>
      <c r="B86" s="19" t="s">
        <v>26</v>
      </c>
      <c r="C86" s="19" t="s">
        <v>56</v>
      </c>
      <c r="D86" s="19"/>
      <c r="E86" s="19"/>
      <c r="F86" s="20"/>
      <c r="G86" s="20"/>
      <c r="H86" s="20"/>
      <c r="I86" s="19"/>
      <c r="R86" s="9"/>
      <c r="T86" s="12"/>
    </row>
    <row r="87" spans="1:20" ht="14" x14ac:dyDescent="0.15">
      <c r="A87" s="18">
        <v>46084</v>
      </c>
      <c r="B87" s="19" t="s">
        <v>20</v>
      </c>
      <c r="C87" s="19" t="s">
        <v>43</v>
      </c>
      <c r="D87" s="19"/>
      <c r="E87" s="19"/>
      <c r="F87" s="20"/>
      <c r="G87" s="20"/>
      <c r="H87" s="20"/>
      <c r="I87" s="19"/>
      <c r="R87" s="9"/>
      <c r="T87" s="12"/>
    </row>
    <row r="88" spans="1:20" ht="14" x14ac:dyDescent="0.15">
      <c r="A88" s="18">
        <v>46084</v>
      </c>
      <c r="B88" s="19" t="s">
        <v>20</v>
      </c>
      <c r="C88" s="19" t="s">
        <v>21</v>
      </c>
      <c r="D88" s="19"/>
      <c r="E88" s="19"/>
      <c r="F88" s="20"/>
      <c r="G88" s="20"/>
      <c r="H88" s="20"/>
      <c r="I88" s="19"/>
      <c r="R88" s="9"/>
      <c r="T88" s="12"/>
    </row>
    <row r="89" spans="1:20" ht="14" x14ac:dyDescent="0.15">
      <c r="A89" s="18">
        <v>46084</v>
      </c>
      <c r="B89" s="19" t="s">
        <v>20</v>
      </c>
      <c r="C89" s="19" t="s">
        <v>21</v>
      </c>
      <c r="D89" s="19"/>
      <c r="E89" s="19"/>
      <c r="F89" s="20"/>
      <c r="G89" s="20"/>
      <c r="H89" s="20"/>
      <c r="I89" s="19"/>
      <c r="R89" s="9"/>
      <c r="T89" s="12"/>
    </row>
    <row r="90" spans="1:20" ht="14" x14ac:dyDescent="0.15">
      <c r="A90" s="18">
        <v>46097</v>
      </c>
      <c r="B90" s="19" t="s">
        <v>20</v>
      </c>
      <c r="C90" s="19" t="s">
        <v>21</v>
      </c>
      <c r="D90" s="19"/>
      <c r="E90" s="19"/>
      <c r="F90" s="20"/>
      <c r="G90" s="20"/>
      <c r="H90" s="20"/>
      <c r="I90" s="19"/>
      <c r="R90" s="9"/>
      <c r="T90" s="12"/>
    </row>
    <row r="91" spans="1:20" ht="14" x14ac:dyDescent="0.15">
      <c r="A91" s="18">
        <v>46097</v>
      </c>
      <c r="B91" s="19" t="s">
        <v>20</v>
      </c>
      <c r="C91" s="19" t="s">
        <v>21</v>
      </c>
      <c r="D91" s="19"/>
      <c r="E91" s="19"/>
      <c r="F91" s="20"/>
      <c r="G91" s="20"/>
      <c r="H91" s="20"/>
      <c r="I91" s="19"/>
      <c r="R91" s="9"/>
      <c r="T91" s="12"/>
    </row>
    <row r="92" spans="1:20" ht="14" x14ac:dyDescent="0.15">
      <c r="A92" s="18">
        <v>46097</v>
      </c>
      <c r="B92" s="19" t="s">
        <v>20</v>
      </c>
      <c r="C92" s="19" t="s">
        <v>21</v>
      </c>
      <c r="D92" s="19"/>
      <c r="E92" s="19"/>
      <c r="F92" s="20"/>
      <c r="G92" s="20"/>
      <c r="H92" s="20"/>
      <c r="I92" s="19"/>
      <c r="R92" s="9"/>
      <c r="T92" s="12"/>
    </row>
    <row r="93" spans="1:20" ht="14" x14ac:dyDescent="0.15">
      <c r="A93" s="18">
        <v>46097</v>
      </c>
      <c r="B93" s="19" t="s">
        <v>20</v>
      </c>
      <c r="C93" s="19" t="s">
        <v>39</v>
      </c>
      <c r="D93" s="19"/>
      <c r="E93" s="19"/>
      <c r="F93" s="20"/>
      <c r="G93" s="20"/>
      <c r="H93" s="20"/>
      <c r="I93" s="19"/>
      <c r="R93" s="9"/>
      <c r="T93" s="12"/>
    </row>
    <row r="94" spans="1:20" ht="14" x14ac:dyDescent="0.15">
      <c r="A94" s="18">
        <v>46097</v>
      </c>
      <c r="B94" s="19" t="s">
        <v>20</v>
      </c>
      <c r="C94" s="19" t="s">
        <v>50</v>
      </c>
      <c r="D94" s="19"/>
      <c r="E94" s="19"/>
      <c r="F94" s="20"/>
      <c r="G94" s="20"/>
      <c r="H94" s="20"/>
      <c r="I94" s="19"/>
      <c r="R94" s="9"/>
      <c r="T94" s="12"/>
    </row>
    <row r="95" spans="1:20" ht="14" x14ac:dyDescent="0.15">
      <c r="A95" s="18">
        <v>46097</v>
      </c>
      <c r="B95" s="19" t="s">
        <v>20</v>
      </c>
      <c r="C95" s="19" t="s">
        <v>39</v>
      </c>
      <c r="D95" s="19"/>
      <c r="E95" s="19"/>
      <c r="F95" s="20"/>
      <c r="G95" s="20"/>
      <c r="H95" s="20"/>
      <c r="I95" s="19"/>
      <c r="R95" s="9"/>
      <c r="T95" s="12"/>
    </row>
    <row r="96" spans="1:20" ht="14" x14ac:dyDescent="0.15">
      <c r="A96" s="18">
        <v>46097</v>
      </c>
      <c r="B96" s="19" t="s">
        <v>20</v>
      </c>
      <c r="C96" s="19" t="s">
        <v>21</v>
      </c>
      <c r="D96" s="19"/>
      <c r="E96" s="19"/>
      <c r="F96" s="20"/>
      <c r="G96" s="20"/>
      <c r="H96" s="20"/>
      <c r="I96" s="19"/>
      <c r="R96" s="9"/>
      <c r="T96" s="12"/>
    </row>
    <row r="97" spans="1:20" ht="14" x14ac:dyDescent="0.15">
      <c r="A97" s="18">
        <v>46097</v>
      </c>
      <c r="B97" s="19" t="s">
        <v>20</v>
      </c>
      <c r="C97" s="19" t="s">
        <v>39</v>
      </c>
      <c r="D97" s="19"/>
      <c r="E97" s="19"/>
      <c r="F97" s="20"/>
      <c r="G97" s="20"/>
      <c r="H97" s="20"/>
      <c r="I97" s="19"/>
      <c r="R97" s="9"/>
      <c r="T97" s="12"/>
    </row>
    <row r="98" spans="1:20" ht="14" x14ac:dyDescent="0.15">
      <c r="A98" s="18">
        <v>46097</v>
      </c>
      <c r="B98" s="19" t="s">
        <v>20</v>
      </c>
      <c r="C98" s="19" t="s">
        <v>50</v>
      </c>
      <c r="D98" s="19"/>
      <c r="E98" s="19"/>
      <c r="F98" s="20"/>
      <c r="G98" s="20"/>
      <c r="H98" s="20"/>
      <c r="I98" s="19"/>
      <c r="R98" s="9"/>
      <c r="T98" s="12"/>
    </row>
    <row r="99" spans="1:20" ht="14" x14ac:dyDescent="0.15">
      <c r="A99" s="18">
        <v>46097</v>
      </c>
      <c r="B99" s="19" t="s">
        <v>20</v>
      </c>
      <c r="C99" s="19" t="s">
        <v>54</v>
      </c>
      <c r="D99" s="19"/>
      <c r="E99" s="19"/>
      <c r="F99" s="20"/>
      <c r="G99" s="20"/>
      <c r="H99" s="20"/>
      <c r="I99" s="19"/>
      <c r="R99" s="9"/>
      <c r="T99" s="12"/>
    </row>
    <row r="100" spans="1:20" ht="14" x14ac:dyDescent="0.15">
      <c r="A100" s="18">
        <v>46097</v>
      </c>
      <c r="B100" s="19" t="s">
        <v>20</v>
      </c>
      <c r="C100" s="19" t="s">
        <v>52</v>
      </c>
      <c r="D100" s="19"/>
      <c r="E100" s="19"/>
      <c r="F100" s="20"/>
      <c r="G100" s="20"/>
      <c r="H100" s="20"/>
      <c r="I100" s="19"/>
      <c r="R100" s="9"/>
      <c r="T100" s="12"/>
    </row>
    <row r="101" spans="1:20" ht="14" x14ac:dyDescent="0.15">
      <c r="A101" s="18">
        <v>46097</v>
      </c>
      <c r="B101" s="19" t="s">
        <v>26</v>
      </c>
      <c r="C101" s="19" t="s">
        <v>21</v>
      </c>
      <c r="D101" s="19"/>
      <c r="E101" s="19"/>
      <c r="F101" s="20"/>
      <c r="G101" s="20"/>
      <c r="H101" s="20"/>
      <c r="I101" s="19"/>
      <c r="R101" s="9"/>
      <c r="T101" s="12"/>
    </row>
    <row r="102" spans="1:20" ht="14" x14ac:dyDescent="0.15">
      <c r="A102" s="18">
        <v>46097</v>
      </c>
      <c r="B102" s="19" t="s">
        <v>26</v>
      </c>
      <c r="C102" s="19" t="s">
        <v>21</v>
      </c>
      <c r="D102" s="19"/>
      <c r="E102" s="19"/>
      <c r="F102" s="20"/>
      <c r="G102" s="20"/>
      <c r="H102" s="20"/>
      <c r="I102" s="19"/>
      <c r="R102" s="9"/>
      <c r="T102" s="12"/>
    </row>
    <row r="103" spans="1:20" ht="14" x14ac:dyDescent="0.15">
      <c r="A103" s="18">
        <v>46097</v>
      </c>
      <c r="B103" s="19" t="s">
        <v>26</v>
      </c>
      <c r="C103" s="19" t="s">
        <v>21</v>
      </c>
      <c r="D103" s="19"/>
      <c r="E103" s="19"/>
      <c r="F103" s="20"/>
      <c r="G103" s="20"/>
      <c r="H103" s="20"/>
      <c r="I103" s="19"/>
      <c r="R103" s="9"/>
      <c r="T103" s="12"/>
    </row>
    <row r="104" spans="1:20" ht="14" x14ac:dyDescent="0.15">
      <c r="A104" s="18">
        <v>46097</v>
      </c>
      <c r="B104" s="19" t="s">
        <v>26</v>
      </c>
      <c r="C104" s="19" t="s">
        <v>21</v>
      </c>
      <c r="D104" s="19"/>
      <c r="E104" s="19"/>
      <c r="F104" s="20"/>
      <c r="G104" s="20"/>
      <c r="H104" s="20"/>
      <c r="I104" s="19"/>
      <c r="R104" s="9"/>
      <c r="T104" s="12"/>
    </row>
    <row r="105" spans="1:20" ht="14" x14ac:dyDescent="0.15">
      <c r="A105" s="18">
        <v>46097</v>
      </c>
      <c r="B105" s="19" t="s">
        <v>26</v>
      </c>
      <c r="C105" s="19" t="s">
        <v>21</v>
      </c>
      <c r="D105" s="19"/>
      <c r="E105" s="19"/>
      <c r="F105" s="20"/>
      <c r="G105" s="20"/>
      <c r="H105" s="20"/>
      <c r="I105" s="19"/>
      <c r="R105" s="9"/>
      <c r="T105" s="12"/>
    </row>
    <row r="106" spans="1:20" ht="14" x14ac:dyDescent="0.15">
      <c r="A106" s="18">
        <v>46097</v>
      </c>
      <c r="B106" s="19" t="s">
        <v>26</v>
      </c>
      <c r="C106" s="19" t="s">
        <v>50</v>
      </c>
      <c r="D106" s="19"/>
      <c r="E106" s="19"/>
      <c r="F106" s="20"/>
      <c r="G106" s="20"/>
      <c r="H106" s="20"/>
      <c r="I106" s="19"/>
      <c r="R106" s="9"/>
      <c r="T106" s="12"/>
    </row>
    <row r="107" spans="1:20" ht="14" x14ac:dyDescent="0.15">
      <c r="A107" s="18">
        <v>46097</v>
      </c>
      <c r="B107" s="19" t="s">
        <v>26</v>
      </c>
      <c r="C107" s="19" t="s">
        <v>52</v>
      </c>
      <c r="D107" s="19"/>
      <c r="E107" s="19"/>
      <c r="F107" s="20"/>
      <c r="G107" s="20"/>
      <c r="H107" s="20"/>
      <c r="I107" s="19"/>
      <c r="R107" s="9"/>
      <c r="T107" s="12"/>
    </row>
    <row r="108" spans="1:20" ht="14" x14ac:dyDescent="0.15">
      <c r="A108" s="18">
        <v>46097</v>
      </c>
      <c r="B108" s="19" t="s">
        <v>26</v>
      </c>
      <c r="C108" s="19" t="s">
        <v>21</v>
      </c>
      <c r="D108" s="19"/>
      <c r="E108" s="19"/>
      <c r="F108" s="20"/>
      <c r="G108" s="20"/>
      <c r="H108" s="20"/>
      <c r="I108" s="19"/>
      <c r="R108" s="9"/>
      <c r="T108" s="12"/>
    </row>
    <row r="109" spans="1:20" ht="14" x14ac:dyDescent="0.15">
      <c r="A109" s="18">
        <v>46097</v>
      </c>
      <c r="B109" s="19" t="s">
        <v>26</v>
      </c>
      <c r="C109" s="19" t="s">
        <v>43</v>
      </c>
      <c r="D109" s="19"/>
      <c r="E109" s="19"/>
      <c r="F109" s="20"/>
      <c r="G109" s="20"/>
      <c r="H109" s="20"/>
      <c r="I109" s="19"/>
      <c r="R109" s="9"/>
      <c r="T109" s="12"/>
    </row>
    <row r="110" spans="1:20" ht="14" x14ac:dyDescent="0.15">
      <c r="A110" s="18">
        <v>46097</v>
      </c>
      <c r="B110" s="19" t="s">
        <v>20</v>
      </c>
      <c r="C110" s="19" t="s">
        <v>43</v>
      </c>
      <c r="D110" s="19"/>
      <c r="E110" s="19"/>
      <c r="F110" s="20"/>
      <c r="G110" s="20"/>
      <c r="H110" s="20"/>
      <c r="I110" s="19"/>
      <c r="R110" s="9"/>
      <c r="T110" s="12"/>
    </row>
    <row r="111" spans="1:20" ht="14" x14ac:dyDescent="0.15">
      <c r="A111" s="18">
        <v>46097</v>
      </c>
      <c r="B111" s="19" t="s">
        <v>20</v>
      </c>
      <c r="C111" s="19" t="s">
        <v>48</v>
      </c>
      <c r="D111" s="19"/>
      <c r="E111" s="19"/>
      <c r="F111" s="20"/>
      <c r="G111" s="20"/>
      <c r="H111" s="20"/>
      <c r="I111" s="19"/>
      <c r="R111" s="9"/>
      <c r="T111" s="12"/>
    </row>
    <row r="112" spans="1:20" ht="14" x14ac:dyDescent="0.15">
      <c r="A112" s="18">
        <v>46097</v>
      </c>
      <c r="B112" s="19" t="s">
        <v>26</v>
      </c>
      <c r="C112" s="19" t="s">
        <v>48</v>
      </c>
      <c r="D112" s="19"/>
      <c r="E112" s="19"/>
      <c r="F112" s="20"/>
      <c r="G112" s="20"/>
      <c r="H112" s="20"/>
      <c r="I112" s="19"/>
      <c r="R112" s="9"/>
      <c r="T112" s="12"/>
    </row>
    <row r="113" spans="1:20" ht="14" x14ac:dyDescent="0.15">
      <c r="A113" s="18">
        <v>46097</v>
      </c>
      <c r="B113" s="19" t="s">
        <v>32</v>
      </c>
      <c r="C113" s="19" t="s">
        <v>39</v>
      </c>
      <c r="D113" s="19"/>
      <c r="E113" s="19"/>
      <c r="F113" s="20"/>
      <c r="G113" s="20"/>
      <c r="H113" s="20"/>
      <c r="I113" s="19"/>
      <c r="R113" s="9"/>
      <c r="T113" s="12"/>
    </row>
    <row r="114" spans="1:20" ht="14" x14ac:dyDescent="0.15">
      <c r="A114" s="18">
        <v>46097</v>
      </c>
      <c r="B114" s="19" t="s">
        <v>38</v>
      </c>
      <c r="C114" s="19" t="s">
        <v>39</v>
      </c>
      <c r="D114" s="19"/>
      <c r="E114" s="19"/>
      <c r="F114" s="20"/>
      <c r="G114" s="20"/>
      <c r="H114" s="20"/>
      <c r="I114" s="19"/>
      <c r="R114" s="9"/>
      <c r="T114" s="12"/>
    </row>
    <row r="115" spans="1:20" ht="14" x14ac:dyDescent="0.15">
      <c r="A115" s="18">
        <v>46097</v>
      </c>
      <c r="B115" s="19" t="s">
        <v>20</v>
      </c>
      <c r="C115" s="19" t="s">
        <v>56</v>
      </c>
      <c r="D115" s="19"/>
      <c r="E115" s="19"/>
      <c r="F115" s="20"/>
      <c r="G115" s="20"/>
      <c r="H115" s="20"/>
      <c r="I115" s="19"/>
      <c r="R115" s="9"/>
      <c r="T115" s="12"/>
    </row>
    <row r="116" spans="1:20" ht="14" x14ac:dyDescent="0.15">
      <c r="A116" s="18">
        <v>46097</v>
      </c>
      <c r="B116" s="19" t="s">
        <v>26</v>
      </c>
      <c r="C116" s="19" t="s">
        <v>56</v>
      </c>
      <c r="D116" s="19"/>
      <c r="E116" s="19"/>
      <c r="F116" s="20"/>
      <c r="G116" s="20"/>
      <c r="H116" s="20"/>
      <c r="I116" s="19"/>
      <c r="R116" s="9"/>
      <c r="T116" s="12"/>
    </row>
    <row r="117" spans="1:20" ht="14" x14ac:dyDescent="0.15">
      <c r="A117" s="18">
        <v>46097</v>
      </c>
      <c r="B117" s="19" t="s">
        <v>20</v>
      </c>
      <c r="C117" s="19" t="s">
        <v>43</v>
      </c>
      <c r="D117" s="19"/>
      <c r="E117" s="19"/>
      <c r="F117" s="20"/>
      <c r="G117" s="20"/>
      <c r="H117" s="20"/>
      <c r="I117" s="19"/>
      <c r="R117" s="9"/>
      <c r="T117" s="12"/>
    </row>
    <row r="118" spans="1:20" ht="14" x14ac:dyDescent="0.15">
      <c r="A118" s="18">
        <v>46097</v>
      </c>
      <c r="B118" s="19" t="s">
        <v>20</v>
      </c>
      <c r="C118" s="19" t="s">
        <v>21</v>
      </c>
      <c r="D118" s="19"/>
      <c r="E118" s="19"/>
      <c r="F118" s="20"/>
      <c r="G118" s="20"/>
      <c r="H118" s="20"/>
      <c r="I118" s="19"/>
      <c r="R118" s="9"/>
      <c r="T118" s="12"/>
    </row>
    <row r="119" spans="1:20" ht="14" x14ac:dyDescent="0.15">
      <c r="A119" s="18">
        <v>46097</v>
      </c>
      <c r="B119" s="19" t="s">
        <v>20</v>
      </c>
      <c r="C119" s="19" t="s">
        <v>21</v>
      </c>
      <c r="D119" s="19"/>
      <c r="E119" s="19"/>
      <c r="F119" s="20"/>
      <c r="G119" s="20"/>
      <c r="H119" s="20"/>
      <c r="I119" s="19"/>
      <c r="R119" s="9"/>
      <c r="T119" s="12"/>
    </row>
    <row r="120" spans="1:20" ht="14" x14ac:dyDescent="0.15">
      <c r="A120" s="18">
        <v>46097</v>
      </c>
      <c r="B120" s="19" t="s">
        <v>20</v>
      </c>
      <c r="C120" s="19" t="s">
        <v>45</v>
      </c>
      <c r="D120" s="19"/>
      <c r="E120" s="21"/>
      <c r="F120" s="20"/>
      <c r="G120" s="20"/>
      <c r="H120" s="20"/>
      <c r="I120" s="19"/>
      <c r="R120" s="9"/>
      <c r="T120" s="12"/>
    </row>
    <row r="121" spans="1:20" ht="14" x14ac:dyDescent="0.15">
      <c r="A121" s="22"/>
      <c r="B121" s="21"/>
      <c r="C121" s="21"/>
      <c r="D121" s="21"/>
      <c r="E121" s="21"/>
      <c r="F121" s="23"/>
      <c r="G121" s="23"/>
      <c r="H121" s="23"/>
      <c r="I121" s="21"/>
    </row>
    <row r="122" spans="1:20" ht="14" x14ac:dyDescent="0.15">
      <c r="A122" s="22"/>
      <c r="B122" s="21"/>
      <c r="C122" s="21"/>
      <c r="D122" s="21"/>
      <c r="E122" s="21"/>
      <c r="F122" s="23"/>
      <c r="G122" s="23"/>
      <c r="H122" s="23"/>
      <c r="I122" s="21"/>
    </row>
    <row r="123" spans="1:20" ht="14" x14ac:dyDescent="0.15">
      <c r="A123" s="22"/>
      <c r="B123" s="21"/>
      <c r="C123" s="21"/>
      <c r="D123" s="21"/>
      <c r="E123" s="21"/>
      <c r="F123" s="23"/>
      <c r="G123" s="23"/>
      <c r="H123" s="23"/>
      <c r="I123" s="21"/>
    </row>
    <row r="124" spans="1:20" ht="14" x14ac:dyDescent="0.15">
      <c r="A124" s="22"/>
      <c r="B124" s="21"/>
      <c r="C124" s="21"/>
      <c r="D124" s="21"/>
      <c r="E124" s="21"/>
      <c r="F124" s="23"/>
      <c r="G124" s="23"/>
      <c r="H124" s="23"/>
      <c r="I124" s="21"/>
    </row>
    <row r="125" spans="1:20" ht="14" x14ac:dyDescent="0.15">
      <c r="A125" s="22"/>
      <c r="B125" s="21"/>
      <c r="C125" s="21"/>
      <c r="D125" s="21"/>
      <c r="E125" s="21"/>
      <c r="F125" s="23"/>
      <c r="G125" s="23"/>
      <c r="H125" s="23"/>
      <c r="I125" s="21"/>
    </row>
    <row r="126" spans="1:20" ht="14" x14ac:dyDescent="0.15">
      <c r="A126" s="22"/>
      <c r="B126" s="21"/>
      <c r="C126" s="21"/>
      <c r="D126" s="21"/>
      <c r="E126" s="21"/>
      <c r="F126" s="23"/>
      <c r="G126" s="23"/>
      <c r="H126" s="23"/>
      <c r="I126" s="21"/>
    </row>
    <row r="127" spans="1:20" ht="14" x14ac:dyDescent="0.15">
      <c r="A127" s="22"/>
      <c r="B127" s="21"/>
      <c r="C127" s="21"/>
      <c r="D127" s="21"/>
      <c r="E127" s="21"/>
      <c r="F127" s="23"/>
      <c r="G127" s="23"/>
      <c r="H127" s="23"/>
      <c r="I127" s="21"/>
    </row>
    <row r="128" spans="1:20" ht="14" x14ac:dyDescent="0.15">
      <c r="A128" s="22"/>
      <c r="B128" s="21"/>
      <c r="C128" s="21"/>
      <c r="D128" s="21"/>
      <c r="E128" s="21"/>
      <c r="F128" s="23"/>
      <c r="G128" s="23"/>
      <c r="H128" s="23"/>
      <c r="I128" s="21"/>
    </row>
    <row r="129" spans="1:9" ht="14" x14ac:dyDescent="0.15">
      <c r="A129" s="22"/>
      <c r="B129" s="21"/>
      <c r="C129" s="21"/>
      <c r="D129" s="21"/>
      <c r="E129" s="21"/>
      <c r="F129" s="23"/>
      <c r="G129" s="23"/>
      <c r="H129" s="23"/>
      <c r="I129" s="21"/>
    </row>
    <row r="130" spans="1:9" ht="14" x14ac:dyDescent="0.15">
      <c r="A130" s="22"/>
      <c r="B130" s="21"/>
      <c r="C130" s="21"/>
      <c r="D130" s="21"/>
      <c r="E130" s="21"/>
      <c r="F130" s="23"/>
      <c r="G130" s="23"/>
      <c r="H130" s="23"/>
      <c r="I130" s="21"/>
    </row>
    <row r="131" spans="1:9" ht="14" x14ac:dyDescent="0.15">
      <c r="A131" s="22"/>
      <c r="B131" s="21"/>
      <c r="C131" s="21"/>
      <c r="D131" s="21"/>
      <c r="E131" s="21"/>
      <c r="F131" s="23"/>
      <c r="G131" s="23"/>
      <c r="H131" s="23"/>
      <c r="I131" s="21"/>
    </row>
    <row r="132" spans="1:9" ht="14" x14ac:dyDescent="0.15">
      <c r="A132" s="22"/>
      <c r="B132" s="21"/>
      <c r="C132" s="21"/>
      <c r="D132" s="21"/>
      <c r="E132" s="21"/>
      <c r="F132" s="23"/>
      <c r="G132" s="23"/>
      <c r="H132" s="23"/>
      <c r="I132" s="21"/>
    </row>
    <row r="133" spans="1:9" ht="14" x14ac:dyDescent="0.15">
      <c r="A133" s="22"/>
      <c r="B133" s="21"/>
      <c r="C133" s="21"/>
      <c r="D133" s="21"/>
      <c r="E133" s="21"/>
      <c r="F133" s="23"/>
      <c r="G133" s="23"/>
      <c r="H133" s="23"/>
      <c r="I133" s="21"/>
    </row>
    <row r="134" spans="1:9" ht="14" x14ac:dyDescent="0.15">
      <c r="A134" s="22"/>
      <c r="B134" s="21"/>
      <c r="C134" s="21"/>
      <c r="D134" s="21"/>
      <c r="E134" s="21"/>
      <c r="F134" s="23"/>
      <c r="G134" s="23"/>
      <c r="H134" s="23"/>
      <c r="I134" s="21"/>
    </row>
    <row r="135" spans="1:9" ht="14" x14ac:dyDescent="0.15">
      <c r="A135" s="22"/>
      <c r="B135" s="21"/>
      <c r="C135" s="21"/>
      <c r="D135" s="21"/>
      <c r="E135" s="21"/>
      <c r="F135" s="23"/>
      <c r="G135" s="23"/>
      <c r="H135" s="23"/>
      <c r="I135" s="21"/>
    </row>
    <row r="136" spans="1:9" ht="14" x14ac:dyDescent="0.15">
      <c r="A136" s="22"/>
      <c r="B136" s="21"/>
      <c r="C136" s="21"/>
      <c r="D136" s="21"/>
      <c r="E136" s="21"/>
      <c r="F136" s="23"/>
      <c r="G136" s="23"/>
      <c r="H136" s="23"/>
      <c r="I136" s="21"/>
    </row>
    <row r="137" spans="1:9" ht="14" x14ac:dyDescent="0.15">
      <c r="A137" s="22"/>
      <c r="B137" s="21"/>
      <c r="C137" s="21"/>
      <c r="D137" s="21"/>
      <c r="E137" s="21"/>
      <c r="F137" s="23"/>
      <c r="G137" s="23"/>
      <c r="H137" s="23"/>
      <c r="I137" s="21"/>
    </row>
    <row r="138" spans="1:9" ht="14" x14ac:dyDescent="0.15">
      <c r="A138" s="22"/>
      <c r="B138" s="21"/>
      <c r="C138" s="21"/>
      <c r="D138" s="21"/>
      <c r="E138" s="21"/>
      <c r="F138" s="23"/>
      <c r="G138" s="23"/>
      <c r="H138" s="23"/>
      <c r="I138" s="21"/>
    </row>
    <row r="139" spans="1:9" ht="14" x14ac:dyDescent="0.15">
      <c r="A139" s="22"/>
      <c r="B139" s="21"/>
      <c r="C139" s="21"/>
      <c r="D139" s="21"/>
      <c r="E139" s="21"/>
      <c r="F139" s="23"/>
      <c r="G139" s="23"/>
      <c r="H139" s="23"/>
      <c r="I139" s="21"/>
    </row>
    <row r="140" spans="1:9" ht="14" x14ac:dyDescent="0.15">
      <c r="A140" s="22"/>
      <c r="B140" s="21"/>
      <c r="C140" s="21"/>
      <c r="D140" s="21"/>
      <c r="E140" s="21"/>
      <c r="F140" s="23"/>
      <c r="G140" s="23"/>
      <c r="H140" s="23"/>
      <c r="I140" s="21"/>
    </row>
    <row r="141" spans="1:9" ht="14" x14ac:dyDescent="0.15">
      <c r="A141" s="22"/>
      <c r="B141" s="21"/>
      <c r="C141" s="21"/>
      <c r="D141" s="21"/>
      <c r="E141" s="21"/>
      <c r="F141" s="23"/>
      <c r="G141" s="23"/>
      <c r="H141" s="23"/>
      <c r="I141" s="21"/>
    </row>
    <row r="142" spans="1:9" ht="14" x14ac:dyDescent="0.15">
      <c r="A142" s="22"/>
      <c r="B142" s="21"/>
      <c r="C142" s="21"/>
      <c r="D142" s="21"/>
      <c r="E142" s="21"/>
      <c r="F142" s="23"/>
      <c r="G142" s="23"/>
      <c r="H142" s="23"/>
      <c r="I142" s="21"/>
    </row>
    <row r="143" spans="1:9" ht="14" x14ac:dyDescent="0.15">
      <c r="A143" s="22"/>
      <c r="B143" s="21"/>
      <c r="C143" s="21"/>
      <c r="D143" s="21"/>
      <c r="E143" s="21"/>
      <c r="F143" s="23"/>
      <c r="G143" s="23"/>
      <c r="H143" s="23"/>
      <c r="I143" s="21"/>
    </row>
    <row r="144" spans="1:9" ht="14" x14ac:dyDescent="0.15">
      <c r="A144" s="22"/>
      <c r="B144" s="21"/>
      <c r="C144" s="21"/>
      <c r="D144" s="21"/>
      <c r="E144" s="21"/>
      <c r="F144" s="23"/>
      <c r="G144" s="23"/>
      <c r="H144" s="23"/>
      <c r="I144" s="21"/>
    </row>
    <row r="145" spans="1:9" ht="14" x14ac:dyDescent="0.15">
      <c r="A145" s="22"/>
      <c r="B145" s="21"/>
      <c r="C145" s="21"/>
      <c r="D145" s="21"/>
      <c r="E145" s="21"/>
      <c r="F145" s="23"/>
      <c r="G145" s="23"/>
      <c r="H145" s="23"/>
      <c r="I145" s="21"/>
    </row>
    <row r="146" spans="1:9" ht="14" x14ac:dyDescent="0.15">
      <c r="A146" s="22"/>
      <c r="B146" s="21"/>
      <c r="C146" s="21"/>
      <c r="D146" s="21"/>
      <c r="E146" s="21"/>
      <c r="F146" s="23"/>
      <c r="G146" s="23"/>
      <c r="H146" s="23"/>
      <c r="I146" s="21"/>
    </row>
    <row r="147" spans="1:9" ht="14" x14ac:dyDescent="0.15">
      <c r="A147" s="22"/>
      <c r="B147" s="21"/>
      <c r="C147" s="21"/>
      <c r="D147" s="21"/>
      <c r="E147" s="21"/>
      <c r="F147" s="23"/>
      <c r="G147" s="23"/>
      <c r="H147" s="23"/>
      <c r="I147" s="21"/>
    </row>
    <row r="148" spans="1:9" ht="14" x14ac:dyDescent="0.15">
      <c r="A148" s="22"/>
      <c r="B148" s="21"/>
      <c r="C148" s="21"/>
      <c r="D148" s="21"/>
      <c r="E148" s="21"/>
      <c r="F148" s="23"/>
      <c r="G148" s="23"/>
      <c r="H148" s="23"/>
      <c r="I148" s="21"/>
    </row>
    <row r="149" spans="1:9" ht="14" x14ac:dyDescent="0.15">
      <c r="A149" s="22"/>
      <c r="B149" s="21"/>
      <c r="C149" s="21"/>
      <c r="D149" s="21"/>
      <c r="E149" s="21"/>
      <c r="F149" s="23"/>
      <c r="G149" s="23"/>
      <c r="H149" s="23"/>
      <c r="I149" s="21"/>
    </row>
    <row r="150" spans="1:9" ht="14" x14ac:dyDescent="0.15">
      <c r="A150" s="22"/>
      <c r="B150" s="21"/>
      <c r="C150" s="21"/>
      <c r="D150" s="21"/>
      <c r="E150" s="21"/>
      <c r="F150" s="23"/>
      <c r="G150" s="23"/>
      <c r="H150" s="23"/>
      <c r="I150" s="21"/>
    </row>
    <row r="151" spans="1:9" ht="14" x14ac:dyDescent="0.15">
      <c r="A151" s="22"/>
      <c r="B151" s="21"/>
      <c r="C151" s="21"/>
      <c r="D151" s="21"/>
      <c r="E151" s="21"/>
      <c r="F151" s="23"/>
      <c r="G151" s="23"/>
      <c r="H151" s="23"/>
      <c r="I151" s="21"/>
    </row>
    <row r="152" spans="1:9" ht="14" x14ac:dyDescent="0.15">
      <c r="A152" s="22"/>
      <c r="B152" s="21"/>
      <c r="C152" s="21"/>
      <c r="D152" s="21"/>
      <c r="E152" s="21"/>
      <c r="F152" s="23"/>
      <c r="G152" s="23"/>
      <c r="H152" s="23"/>
      <c r="I152" s="21"/>
    </row>
    <row r="153" spans="1:9" ht="14" x14ac:dyDescent="0.15">
      <c r="A153" s="22"/>
      <c r="B153" s="21"/>
      <c r="C153" s="21"/>
      <c r="D153" s="21"/>
      <c r="E153" s="21"/>
      <c r="F153" s="23"/>
      <c r="G153" s="23"/>
      <c r="H153" s="23"/>
      <c r="I153" s="21"/>
    </row>
    <row r="154" spans="1:9" ht="14" x14ac:dyDescent="0.15">
      <c r="A154" s="22"/>
      <c r="B154" s="21"/>
      <c r="C154" s="21"/>
      <c r="D154" s="21"/>
      <c r="E154" s="21"/>
      <c r="F154" s="23"/>
      <c r="G154" s="23"/>
      <c r="H154" s="23"/>
      <c r="I154" s="21"/>
    </row>
    <row r="155" spans="1:9" ht="14" x14ac:dyDescent="0.15">
      <c r="A155" s="22"/>
      <c r="B155" s="21"/>
      <c r="C155" s="21"/>
      <c r="D155" s="21"/>
      <c r="E155" s="21"/>
      <c r="F155" s="23"/>
      <c r="G155" s="23"/>
      <c r="H155" s="23"/>
      <c r="I155" s="21"/>
    </row>
    <row r="156" spans="1:9" ht="14" x14ac:dyDescent="0.15">
      <c r="A156" s="22"/>
      <c r="B156" s="21"/>
      <c r="C156" s="21"/>
      <c r="D156" s="21"/>
      <c r="E156" s="21"/>
      <c r="F156" s="23"/>
      <c r="G156" s="23"/>
      <c r="H156" s="23"/>
      <c r="I156" s="21"/>
    </row>
    <row r="157" spans="1:9" ht="14" x14ac:dyDescent="0.15">
      <c r="A157" s="22"/>
      <c r="B157" s="21"/>
      <c r="C157" s="21"/>
      <c r="D157" s="21"/>
      <c r="E157" s="21"/>
      <c r="F157" s="23"/>
      <c r="G157" s="23"/>
      <c r="H157" s="23"/>
      <c r="I157" s="21"/>
    </row>
    <row r="158" spans="1:9" ht="14" x14ac:dyDescent="0.15">
      <c r="A158" s="22"/>
      <c r="B158" s="21"/>
      <c r="C158" s="21"/>
      <c r="D158" s="21"/>
      <c r="E158" s="21"/>
      <c r="F158" s="23"/>
      <c r="G158" s="23"/>
      <c r="H158" s="23"/>
      <c r="I158" s="21"/>
    </row>
    <row r="159" spans="1:9" ht="14" x14ac:dyDescent="0.15">
      <c r="A159" s="22"/>
      <c r="B159" s="21"/>
      <c r="C159" s="21"/>
      <c r="D159" s="21"/>
      <c r="E159" s="21"/>
      <c r="F159" s="23"/>
      <c r="G159" s="23"/>
      <c r="H159" s="23"/>
      <c r="I159" s="21"/>
    </row>
    <row r="160" spans="1:9" ht="14" x14ac:dyDescent="0.15">
      <c r="A160" s="22"/>
      <c r="B160" s="21"/>
      <c r="C160" s="21"/>
      <c r="D160" s="21"/>
      <c r="E160" s="21"/>
      <c r="F160" s="23"/>
      <c r="G160" s="23"/>
      <c r="H160" s="23"/>
      <c r="I160" s="21"/>
    </row>
    <row r="161" spans="1:9" ht="14" x14ac:dyDescent="0.15">
      <c r="A161" s="22"/>
      <c r="B161" s="21"/>
      <c r="C161" s="21"/>
      <c r="D161" s="21"/>
      <c r="E161" s="21"/>
      <c r="F161" s="23"/>
      <c r="G161" s="23"/>
      <c r="H161" s="23"/>
      <c r="I161" s="21"/>
    </row>
    <row r="162" spans="1:9" ht="14" x14ac:dyDescent="0.15">
      <c r="A162" s="22"/>
      <c r="B162" s="21"/>
      <c r="C162" s="21"/>
      <c r="D162" s="21"/>
      <c r="E162" s="21"/>
      <c r="F162" s="23"/>
      <c r="G162" s="23"/>
      <c r="H162" s="23"/>
      <c r="I162" s="21"/>
    </row>
    <row r="163" spans="1:9" ht="14" x14ac:dyDescent="0.15">
      <c r="A163" s="22"/>
      <c r="B163" s="21"/>
      <c r="C163" s="21"/>
      <c r="D163" s="21"/>
      <c r="E163" s="21"/>
      <c r="F163" s="23"/>
      <c r="G163" s="23"/>
      <c r="H163" s="23"/>
      <c r="I163" s="21"/>
    </row>
    <row r="164" spans="1:9" ht="14" x14ac:dyDescent="0.15">
      <c r="A164" s="22"/>
      <c r="B164" s="21"/>
      <c r="C164" s="21"/>
      <c r="D164" s="21"/>
      <c r="E164" s="21"/>
      <c r="F164" s="23"/>
      <c r="G164" s="23"/>
      <c r="H164" s="23"/>
      <c r="I164" s="21"/>
    </row>
    <row r="165" spans="1:9" ht="14" x14ac:dyDescent="0.15">
      <c r="A165" s="22"/>
      <c r="B165" s="21"/>
      <c r="C165" s="21"/>
      <c r="D165" s="21"/>
      <c r="E165" s="21"/>
      <c r="F165" s="23"/>
      <c r="G165" s="23"/>
      <c r="H165" s="23"/>
      <c r="I165" s="21"/>
    </row>
    <row r="166" spans="1:9" ht="14" x14ac:dyDescent="0.15">
      <c r="A166" s="22"/>
      <c r="B166" s="21"/>
      <c r="C166" s="21"/>
      <c r="D166" s="21"/>
      <c r="E166" s="21"/>
      <c r="F166" s="23"/>
      <c r="G166" s="23"/>
      <c r="H166" s="23"/>
      <c r="I166" s="21"/>
    </row>
    <row r="167" spans="1:9" ht="14" x14ac:dyDescent="0.15">
      <c r="A167" s="22"/>
      <c r="B167" s="21"/>
      <c r="C167" s="21"/>
      <c r="D167" s="21"/>
      <c r="E167" s="21"/>
      <c r="F167" s="23"/>
      <c r="G167" s="23"/>
      <c r="H167" s="23"/>
      <c r="I167" s="21"/>
    </row>
    <row r="168" spans="1:9" ht="14" x14ac:dyDescent="0.15">
      <c r="A168" s="22"/>
      <c r="B168" s="21"/>
      <c r="C168" s="21"/>
      <c r="D168" s="21"/>
      <c r="E168" s="21"/>
      <c r="F168" s="23"/>
      <c r="G168" s="23"/>
      <c r="H168" s="23"/>
      <c r="I168" s="21"/>
    </row>
    <row r="169" spans="1:9" ht="14" x14ac:dyDescent="0.15">
      <c r="A169" s="22"/>
      <c r="B169" s="21"/>
      <c r="C169" s="21"/>
      <c r="D169" s="21"/>
      <c r="E169" s="21"/>
      <c r="F169" s="23"/>
      <c r="G169" s="23"/>
      <c r="H169" s="23"/>
      <c r="I169" s="21"/>
    </row>
    <row r="170" spans="1:9" ht="14" x14ac:dyDescent="0.15">
      <c r="A170" s="22"/>
      <c r="B170" s="21"/>
      <c r="C170" s="21"/>
      <c r="D170" s="21"/>
      <c r="E170" s="21"/>
      <c r="F170" s="23"/>
      <c r="G170" s="23"/>
      <c r="H170" s="23"/>
      <c r="I170" s="21"/>
    </row>
    <row r="171" spans="1:9" ht="14" x14ac:dyDescent="0.15">
      <c r="A171" s="22"/>
      <c r="B171" s="21"/>
      <c r="C171" s="21"/>
      <c r="D171" s="21"/>
      <c r="E171" s="21"/>
      <c r="F171" s="23"/>
      <c r="G171" s="23"/>
      <c r="H171" s="23"/>
      <c r="I171" s="21"/>
    </row>
    <row r="172" spans="1:9" ht="14" x14ac:dyDescent="0.15">
      <c r="A172" s="22"/>
      <c r="B172" s="21"/>
      <c r="C172" s="21"/>
      <c r="D172" s="21"/>
      <c r="E172" s="21"/>
      <c r="F172" s="23"/>
      <c r="G172" s="23"/>
      <c r="H172" s="23"/>
      <c r="I172" s="21"/>
    </row>
    <row r="173" spans="1:9" ht="14" x14ac:dyDescent="0.15">
      <c r="A173" s="22"/>
      <c r="B173" s="21"/>
      <c r="C173" s="21"/>
      <c r="D173" s="21"/>
      <c r="E173" s="21"/>
      <c r="F173" s="23"/>
      <c r="G173" s="23"/>
      <c r="H173" s="23"/>
      <c r="I173" s="21"/>
    </row>
    <row r="174" spans="1:9" ht="14" x14ac:dyDescent="0.15">
      <c r="A174" s="22"/>
      <c r="B174" s="21"/>
      <c r="C174" s="21"/>
      <c r="D174" s="21"/>
      <c r="E174" s="21"/>
      <c r="F174" s="23"/>
      <c r="G174" s="23"/>
      <c r="H174" s="23"/>
      <c r="I174" s="21"/>
    </row>
    <row r="175" spans="1:9" ht="14" x14ac:dyDescent="0.15">
      <c r="A175" s="22"/>
      <c r="B175" s="21"/>
      <c r="C175" s="21"/>
      <c r="D175" s="21"/>
      <c r="E175" s="21"/>
      <c r="F175" s="23"/>
      <c r="G175" s="23"/>
      <c r="H175" s="23"/>
      <c r="I175" s="21"/>
    </row>
    <row r="176" spans="1:9" ht="14" x14ac:dyDescent="0.15">
      <c r="A176" s="22"/>
      <c r="B176" s="21"/>
      <c r="C176" s="21"/>
      <c r="D176" s="21"/>
      <c r="E176" s="21"/>
      <c r="F176" s="23"/>
      <c r="G176" s="23"/>
      <c r="H176" s="23"/>
      <c r="I176" s="21"/>
    </row>
    <row r="177" spans="1:9" ht="14" x14ac:dyDescent="0.15">
      <c r="A177" s="22"/>
      <c r="B177" s="21"/>
      <c r="C177" s="21"/>
      <c r="D177" s="21"/>
      <c r="E177" s="21"/>
      <c r="F177" s="23"/>
      <c r="G177" s="23"/>
      <c r="H177" s="23"/>
      <c r="I177" s="21"/>
    </row>
    <row r="178" spans="1:9" ht="14" x14ac:dyDescent="0.15">
      <c r="A178" s="22"/>
      <c r="B178" s="21"/>
      <c r="C178" s="21"/>
      <c r="D178" s="21"/>
      <c r="E178" s="21"/>
      <c r="F178" s="23"/>
      <c r="G178" s="23"/>
      <c r="H178" s="23"/>
      <c r="I178" s="21"/>
    </row>
    <row r="179" spans="1:9" ht="14" x14ac:dyDescent="0.15">
      <c r="A179" s="22"/>
      <c r="B179" s="21"/>
      <c r="C179" s="21"/>
      <c r="D179" s="21"/>
      <c r="E179" s="21"/>
      <c r="F179" s="23"/>
      <c r="G179" s="23"/>
      <c r="H179" s="23"/>
      <c r="I179" s="21"/>
    </row>
    <row r="180" spans="1:9" ht="14" x14ac:dyDescent="0.15">
      <c r="A180" s="22"/>
      <c r="B180" s="21"/>
      <c r="C180" s="21"/>
      <c r="D180" s="21"/>
      <c r="E180" s="21"/>
      <c r="F180" s="23"/>
      <c r="G180" s="23"/>
      <c r="H180" s="23"/>
      <c r="I180" s="21"/>
    </row>
    <row r="181" spans="1:9" ht="14" x14ac:dyDescent="0.15">
      <c r="A181" s="22"/>
      <c r="B181" s="21"/>
      <c r="C181" s="21"/>
      <c r="D181" s="21"/>
      <c r="E181" s="21"/>
      <c r="F181" s="23"/>
      <c r="G181" s="23"/>
      <c r="H181" s="23"/>
      <c r="I181" s="21"/>
    </row>
    <row r="182" spans="1:9" ht="14" x14ac:dyDescent="0.15">
      <c r="A182" s="22"/>
      <c r="B182" s="21"/>
      <c r="C182" s="21"/>
      <c r="D182" s="21"/>
      <c r="E182" s="21"/>
      <c r="F182" s="23"/>
      <c r="G182" s="23"/>
      <c r="H182" s="23"/>
      <c r="I182" s="21"/>
    </row>
    <row r="183" spans="1:9" ht="14" x14ac:dyDescent="0.15">
      <c r="A183" s="22"/>
      <c r="B183" s="21"/>
      <c r="C183" s="21"/>
      <c r="D183" s="21"/>
      <c r="E183" s="21"/>
      <c r="F183" s="23"/>
      <c r="G183" s="23"/>
      <c r="H183" s="23"/>
      <c r="I183" s="21"/>
    </row>
    <row r="184" spans="1:9" ht="14" x14ac:dyDescent="0.15">
      <c r="A184" s="22"/>
      <c r="B184" s="21"/>
      <c r="C184" s="21"/>
      <c r="D184" s="21"/>
      <c r="E184" s="21"/>
      <c r="F184" s="23"/>
      <c r="G184" s="23"/>
      <c r="H184" s="23"/>
      <c r="I184" s="21"/>
    </row>
    <row r="185" spans="1:9" ht="14" x14ac:dyDescent="0.15">
      <c r="A185" s="22"/>
      <c r="B185" s="21"/>
      <c r="C185" s="21"/>
      <c r="D185" s="21"/>
      <c r="E185" s="21"/>
      <c r="F185" s="23"/>
      <c r="G185" s="23"/>
      <c r="H185" s="23"/>
      <c r="I185" s="21"/>
    </row>
    <row r="186" spans="1:9" ht="14" x14ac:dyDescent="0.15">
      <c r="A186" s="22"/>
      <c r="B186" s="21"/>
      <c r="C186" s="21"/>
      <c r="D186" s="21"/>
      <c r="E186" s="21"/>
      <c r="F186" s="23"/>
      <c r="G186" s="23"/>
      <c r="H186" s="23"/>
      <c r="I186" s="21"/>
    </row>
    <row r="187" spans="1:9" ht="14" x14ac:dyDescent="0.15">
      <c r="A187" s="22"/>
      <c r="B187" s="21"/>
      <c r="C187" s="21"/>
      <c r="D187" s="21"/>
      <c r="E187" s="21"/>
      <c r="F187" s="23"/>
      <c r="G187" s="23"/>
      <c r="H187" s="23"/>
      <c r="I187" s="21"/>
    </row>
    <row r="188" spans="1:9" ht="14" x14ac:dyDescent="0.15">
      <c r="A188" s="22"/>
      <c r="B188" s="21"/>
      <c r="C188" s="21"/>
      <c r="D188" s="21"/>
      <c r="E188" s="21"/>
      <c r="F188" s="23"/>
      <c r="G188" s="23"/>
      <c r="H188" s="23"/>
      <c r="I188" s="21"/>
    </row>
    <row r="189" spans="1:9" ht="14" x14ac:dyDescent="0.15">
      <c r="A189" s="22"/>
      <c r="B189" s="21"/>
      <c r="C189" s="21"/>
      <c r="D189" s="21"/>
      <c r="E189" s="21"/>
      <c r="F189" s="23"/>
      <c r="G189" s="23"/>
      <c r="H189" s="23"/>
      <c r="I189" s="21"/>
    </row>
    <row r="190" spans="1:9" ht="14" x14ac:dyDescent="0.15">
      <c r="A190" s="22"/>
      <c r="B190" s="21"/>
      <c r="C190" s="21"/>
      <c r="D190" s="21"/>
      <c r="E190" s="21"/>
      <c r="F190" s="23"/>
      <c r="G190" s="23"/>
      <c r="H190" s="23"/>
      <c r="I190" s="21"/>
    </row>
    <row r="191" spans="1:9" ht="14" x14ac:dyDescent="0.15">
      <c r="A191" s="22"/>
      <c r="B191" s="21"/>
      <c r="C191" s="21"/>
      <c r="D191" s="21"/>
      <c r="E191" s="21"/>
      <c r="F191" s="23"/>
      <c r="G191" s="23"/>
      <c r="H191" s="23"/>
      <c r="I191" s="21"/>
    </row>
    <row r="192" spans="1:9" ht="14" x14ac:dyDescent="0.15">
      <c r="A192" s="22"/>
      <c r="B192" s="21"/>
      <c r="C192" s="21"/>
      <c r="D192" s="21"/>
      <c r="E192" s="21"/>
      <c r="F192" s="23"/>
      <c r="G192" s="23"/>
      <c r="H192" s="23"/>
      <c r="I192" s="21"/>
    </row>
    <row r="193" spans="1:9" ht="14" x14ac:dyDescent="0.15">
      <c r="A193" s="22"/>
      <c r="B193" s="21"/>
      <c r="C193" s="21"/>
      <c r="D193" s="21"/>
      <c r="E193" s="21"/>
      <c r="F193" s="23"/>
      <c r="G193" s="23"/>
      <c r="H193" s="23"/>
      <c r="I193" s="21"/>
    </row>
    <row r="194" spans="1:9" ht="14" x14ac:dyDescent="0.15">
      <c r="A194" s="22"/>
      <c r="B194" s="21"/>
      <c r="C194" s="21"/>
      <c r="D194" s="21"/>
      <c r="E194" s="21"/>
      <c r="F194" s="23"/>
      <c r="G194" s="23"/>
      <c r="H194" s="23"/>
      <c r="I194" s="21"/>
    </row>
    <row r="195" spans="1:9" ht="14" x14ac:dyDescent="0.15">
      <c r="A195" s="22"/>
      <c r="B195" s="21"/>
      <c r="C195" s="21"/>
      <c r="D195" s="21"/>
      <c r="E195" s="21"/>
      <c r="F195" s="23"/>
      <c r="G195" s="23"/>
      <c r="H195" s="23"/>
      <c r="I195" s="21"/>
    </row>
    <row r="196" spans="1:9" ht="14" x14ac:dyDescent="0.15">
      <c r="A196" s="22"/>
      <c r="B196" s="21"/>
      <c r="C196" s="21"/>
      <c r="D196" s="21"/>
      <c r="E196" s="21"/>
      <c r="F196" s="23"/>
      <c r="G196" s="23"/>
      <c r="H196" s="23"/>
      <c r="I196" s="21"/>
    </row>
    <row r="197" spans="1:9" ht="14" x14ac:dyDescent="0.15">
      <c r="A197" s="22"/>
      <c r="B197" s="21"/>
      <c r="C197" s="21"/>
      <c r="D197" s="21"/>
      <c r="E197" s="21"/>
      <c r="F197" s="23"/>
      <c r="G197" s="23"/>
      <c r="H197" s="23"/>
      <c r="I197" s="21"/>
    </row>
    <row r="198" spans="1:9" ht="14" x14ac:dyDescent="0.15">
      <c r="A198" s="22"/>
      <c r="B198" s="21"/>
      <c r="C198" s="21"/>
      <c r="D198" s="21"/>
      <c r="E198" s="21"/>
      <c r="F198" s="23"/>
      <c r="G198" s="23"/>
      <c r="H198" s="23"/>
      <c r="I198" s="21"/>
    </row>
    <row r="199" spans="1:9" ht="14" x14ac:dyDescent="0.15">
      <c r="A199" s="22"/>
      <c r="B199" s="21"/>
      <c r="C199" s="21"/>
      <c r="D199" s="21"/>
      <c r="E199" s="21"/>
      <c r="F199" s="23"/>
      <c r="G199" s="23"/>
      <c r="H199" s="23"/>
      <c r="I199" s="21"/>
    </row>
    <row r="200" spans="1:9" ht="14" x14ac:dyDescent="0.15">
      <c r="A200" s="22"/>
      <c r="B200" s="21"/>
      <c r="C200" s="21"/>
      <c r="D200" s="21"/>
      <c r="E200" s="21"/>
      <c r="F200" s="23"/>
      <c r="G200" s="23"/>
      <c r="H200" s="23"/>
      <c r="I200" s="21"/>
    </row>
    <row r="201" spans="1:9" ht="14" x14ac:dyDescent="0.15">
      <c r="A201" s="22"/>
      <c r="B201" s="21"/>
      <c r="C201" s="21"/>
      <c r="D201" s="21"/>
      <c r="E201" s="21"/>
      <c r="F201" s="23"/>
      <c r="G201" s="23"/>
      <c r="H201" s="23"/>
      <c r="I201" s="21"/>
    </row>
    <row r="202" spans="1:9" ht="14" x14ac:dyDescent="0.15">
      <c r="A202" s="22"/>
      <c r="B202" s="21"/>
      <c r="C202" s="21"/>
      <c r="D202" s="21"/>
      <c r="E202" s="21"/>
      <c r="F202" s="23"/>
      <c r="G202" s="23"/>
      <c r="H202" s="23"/>
      <c r="I202" s="21"/>
    </row>
    <row r="203" spans="1:9" ht="14" x14ac:dyDescent="0.15">
      <c r="A203" s="22"/>
      <c r="B203" s="21"/>
      <c r="C203" s="21"/>
      <c r="D203" s="21"/>
      <c r="E203" s="21"/>
      <c r="F203" s="23"/>
      <c r="G203" s="23"/>
      <c r="H203" s="23"/>
      <c r="I203" s="21"/>
    </row>
    <row r="204" spans="1:9" ht="14" x14ac:dyDescent="0.15">
      <c r="A204" s="22"/>
      <c r="B204" s="21"/>
      <c r="C204" s="21"/>
      <c r="D204" s="21"/>
      <c r="E204" s="21"/>
      <c r="F204" s="23"/>
      <c r="G204" s="23"/>
      <c r="H204" s="23"/>
      <c r="I204" s="21"/>
    </row>
    <row r="205" spans="1:9" ht="14" x14ac:dyDescent="0.15">
      <c r="A205" s="22"/>
      <c r="B205" s="21"/>
      <c r="C205" s="21"/>
      <c r="D205" s="21"/>
      <c r="E205" s="21"/>
      <c r="F205" s="23"/>
      <c r="G205" s="23"/>
      <c r="H205" s="23"/>
      <c r="I205" s="21"/>
    </row>
    <row r="206" spans="1:9" ht="14" x14ac:dyDescent="0.15">
      <c r="A206" s="22"/>
      <c r="B206" s="21"/>
      <c r="C206" s="21"/>
      <c r="D206" s="21"/>
      <c r="E206" s="21"/>
      <c r="F206" s="23"/>
      <c r="G206" s="23"/>
      <c r="H206" s="23"/>
      <c r="I206" s="21"/>
    </row>
    <row r="207" spans="1:9" ht="14" x14ac:dyDescent="0.15">
      <c r="A207" s="22"/>
      <c r="B207" s="21"/>
      <c r="C207" s="21"/>
      <c r="D207" s="21"/>
      <c r="E207" s="21"/>
      <c r="F207" s="23"/>
      <c r="G207" s="23"/>
      <c r="H207" s="23"/>
      <c r="I207" s="21"/>
    </row>
    <row r="208" spans="1:9" ht="14" x14ac:dyDescent="0.15">
      <c r="A208" s="22"/>
      <c r="B208" s="21"/>
      <c r="C208" s="21"/>
      <c r="D208" s="21"/>
      <c r="E208" s="21"/>
      <c r="F208" s="23"/>
      <c r="G208" s="23"/>
      <c r="H208" s="23"/>
      <c r="I208" s="21"/>
    </row>
    <row r="209" spans="1:9" ht="14" x14ac:dyDescent="0.15">
      <c r="A209" s="22"/>
      <c r="B209" s="21"/>
      <c r="C209" s="21"/>
      <c r="D209" s="21"/>
      <c r="E209" s="21"/>
      <c r="F209" s="23"/>
      <c r="G209" s="23"/>
      <c r="H209" s="23"/>
      <c r="I209" s="21"/>
    </row>
    <row r="210" spans="1:9" ht="14" x14ac:dyDescent="0.15">
      <c r="A210" s="22"/>
      <c r="B210" s="21"/>
      <c r="C210" s="21"/>
      <c r="D210" s="21"/>
      <c r="E210" s="21"/>
      <c r="F210" s="23"/>
      <c r="G210" s="23"/>
      <c r="H210" s="23"/>
      <c r="I210" s="21"/>
    </row>
    <row r="211" spans="1:9" ht="14" x14ac:dyDescent="0.15">
      <c r="A211" s="22"/>
      <c r="B211" s="21"/>
      <c r="C211" s="21"/>
      <c r="D211" s="21"/>
      <c r="E211" s="21"/>
      <c r="F211" s="23"/>
      <c r="G211" s="23"/>
      <c r="H211" s="23"/>
      <c r="I211" s="21"/>
    </row>
    <row r="212" spans="1:9" ht="14" x14ac:dyDescent="0.15">
      <c r="A212" s="22"/>
      <c r="B212" s="21"/>
      <c r="C212" s="21"/>
      <c r="D212" s="21"/>
      <c r="E212" s="21"/>
      <c r="F212" s="23"/>
      <c r="G212" s="23"/>
      <c r="H212" s="23"/>
      <c r="I212" s="21"/>
    </row>
    <row r="213" spans="1:9" ht="14" x14ac:dyDescent="0.15">
      <c r="A213" s="22"/>
      <c r="B213" s="21"/>
      <c r="C213" s="21"/>
      <c r="D213" s="21"/>
      <c r="E213" s="21"/>
      <c r="F213" s="23"/>
      <c r="G213" s="23"/>
      <c r="H213" s="23"/>
      <c r="I213" s="21"/>
    </row>
    <row r="214" spans="1:9" ht="14" x14ac:dyDescent="0.15">
      <c r="A214" s="22"/>
      <c r="B214" s="21"/>
      <c r="C214" s="21"/>
      <c r="D214" s="21"/>
      <c r="E214" s="21"/>
      <c r="F214" s="23"/>
      <c r="G214" s="23"/>
      <c r="H214" s="23"/>
      <c r="I214" s="21"/>
    </row>
    <row r="215" spans="1:9" ht="14" x14ac:dyDescent="0.15">
      <c r="A215" s="22"/>
      <c r="B215" s="21"/>
      <c r="C215" s="21"/>
      <c r="D215" s="21"/>
      <c r="E215" s="21"/>
      <c r="F215" s="23"/>
      <c r="G215" s="23"/>
      <c r="H215" s="23"/>
      <c r="I215" s="21"/>
    </row>
    <row r="216" spans="1:9" ht="14" x14ac:dyDescent="0.15">
      <c r="A216" s="22"/>
      <c r="B216" s="21"/>
      <c r="C216" s="21"/>
      <c r="D216" s="21"/>
      <c r="E216" s="21"/>
      <c r="F216" s="23"/>
      <c r="G216" s="23"/>
      <c r="H216" s="23"/>
      <c r="I216" s="21"/>
    </row>
    <row r="217" spans="1:9" ht="14" x14ac:dyDescent="0.15">
      <c r="A217" s="22"/>
      <c r="B217" s="21"/>
      <c r="C217" s="21"/>
      <c r="D217" s="21"/>
      <c r="E217" s="21"/>
      <c r="F217" s="23"/>
      <c r="G217" s="23"/>
      <c r="H217" s="23"/>
      <c r="I217" s="21"/>
    </row>
    <row r="218" spans="1:9" ht="14" x14ac:dyDescent="0.15">
      <c r="A218" s="22"/>
      <c r="B218" s="21"/>
      <c r="C218" s="21"/>
      <c r="D218" s="21"/>
      <c r="E218" s="21"/>
      <c r="F218" s="23"/>
      <c r="G218" s="23"/>
      <c r="H218" s="23"/>
      <c r="I218" s="21"/>
    </row>
    <row r="219" spans="1:9" ht="14" x14ac:dyDescent="0.15">
      <c r="A219" s="22"/>
      <c r="B219" s="21"/>
      <c r="C219" s="21"/>
      <c r="D219" s="21"/>
      <c r="E219" s="21"/>
      <c r="F219" s="23"/>
      <c r="G219" s="23"/>
      <c r="H219" s="23"/>
      <c r="I219" s="21"/>
    </row>
    <row r="220" spans="1:9" ht="14" x14ac:dyDescent="0.15">
      <c r="A220" s="22"/>
      <c r="B220" s="21"/>
      <c r="C220" s="21"/>
      <c r="D220" s="21"/>
      <c r="E220" s="21"/>
      <c r="F220" s="23"/>
      <c r="G220" s="23"/>
      <c r="H220" s="23"/>
      <c r="I220" s="21"/>
    </row>
    <row r="221" spans="1:9" ht="14" x14ac:dyDescent="0.15">
      <c r="A221" s="22"/>
      <c r="B221" s="21"/>
      <c r="C221" s="21"/>
      <c r="D221" s="21"/>
      <c r="E221" s="21"/>
      <c r="F221" s="23"/>
      <c r="G221" s="23"/>
      <c r="H221" s="23"/>
      <c r="I221" s="21"/>
    </row>
    <row r="222" spans="1:9" ht="14" x14ac:dyDescent="0.15">
      <c r="A222" s="22"/>
      <c r="B222" s="21"/>
      <c r="C222" s="21"/>
      <c r="D222" s="21"/>
      <c r="E222" s="21"/>
      <c r="F222" s="23"/>
      <c r="G222" s="23"/>
      <c r="H222" s="23"/>
      <c r="I222" s="21"/>
    </row>
    <row r="223" spans="1:9" ht="14" x14ac:dyDescent="0.15">
      <c r="A223" s="22"/>
      <c r="B223" s="21"/>
      <c r="C223" s="21"/>
      <c r="D223" s="21"/>
      <c r="E223" s="21"/>
      <c r="F223" s="23"/>
      <c r="G223" s="23"/>
      <c r="H223" s="23"/>
      <c r="I223" s="21"/>
    </row>
    <row r="224" spans="1:9" ht="14" x14ac:dyDescent="0.15">
      <c r="A224" s="22"/>
      <c r="B224" s="21"/>
      <c r="C224" s="21"/>
      <c r="D224" s="21"/>
      <c r="E224" s="21"/>
      <c r="F224" s="23"/>
      <c r="G224" s="23"/>
      <c r="H224" s="23"/>
      <c r="I224" s="21"/>
    </row>
    <row r="225" spans="1:9" ht="14" x14ac:dyDescent="0.15">
      <c r="A225" s="22"/>
      <c r="B225" s="21"/>
      <c r="C225" s="21"/>
      <c r="D225" s="21"/>
      <c r="E225" s="21"/>
      <c r="F225" s="23"/>
      <c r="G225" s="23"/>
      <c r="H225" s="23"/>
      <c r="I225" s="21"/>
    </row>
    <row r="226" spans="1:9" ht="14" x14ac:dyDescent="0.15">
      <c r="A226" s="22"/>
      <c r="B226" s="21"/>
      <c r="C226" s="21"/>
      <c r="D226" s="21"/>
      <c r="E226" s="21"/>
      <c r="F226" s="23"/>
      <c r="G226" s="23"/>
      <c r="H226" s="23"/>
      <c r="I226" s="21"/>
    </row>
    <row r="227" spans="1:9" ht="14" x14ac:dyDescent="0.15">
      <c r="A227" s="22"/>
      <c r="B227" s="21"/>
      <c r="C227" s="21"/>
      <c r="D227" s="21"/>
      <c r="E227" s="21"/>
      <c r="F227" s="23"/>
      <c r="G227" s="23"/>
      <c r="H227" s="23"/>
      <c r="I227" s="21"/>
    </row>
    <row r="228" spans="1:9" ht="14" x14ac:dyDescent="0.15">
      <c r="A228" s="22"/>
      <c r="B228" s="21"/>
      <c r="C228" s="21"/>
      <c r="D228" s="21"/>
      <c r="E228" s="21"/>
      <c r="F228" s="23"/>
      <c r="G228" s="23"/>
      <c r="H228" s="23"/>
      <c r="I228" s="21"/>
    </row>
    <row r="229" spans="1:9" ht="14" x14ac:dyDescent="0.15">
      <c r="A229" s="22"/>
      <c r="B229" s="21"/>
      <c r="C229" s="21"/>
      <c r="D229" s="21"/>
      <c r="E229" s="21"/>
      <c r="F229" s="23"/>
      <c r="G229" s="23"/>
      <c r="H229" s="23"/>
      <c r="I229" s="21"/>
    </row>
    <row r="230" spans="1:9" ht="14" x14ac:dyDescent="0.15">
      <c r="A230" s="22"/>
      <c r="B230" s="21"/>
      <c r="C230" s="21"/>
      <c r="D230" s="21"/>
      <c r="E230" s="21"/>
      <c r="F230" s="23"/>
      <c r="G230" s="23"/>
      <c r="H230" s="23"/>
      <c r="I230" s="21"/>
    </row>
    <row r="231" spans="1:9" ht="14" x14ac:dyDescent="0.15">
      <c r="A231" s="22"/>
      <c r="B231" s="21"/>
      <c r="C231" s="21"/>
      <c r="D231" s="21"/>
      <c r="E231" s="21"/>
      <c r="F231" s="23"/>
      <c r="G231" s="23"/>
      <c r="H231" s="23"/>
      <c r="I231" s="21"/>
    </row>
    <row r="232" spans="1:9" ht="14" x14ac:dyDescent="0.15">
      <c r="A232" s="22"/>
      <c r="B232" s="21"/>
      <c r="C232" s="21"/>
      <c r="D232" s="21"/>
      <c r="E232" s="21"/>
      <c r="F232" s="23"/>
      <c r="G232" s="23"/>
      <c r="H232" s="23"/>
      <c r="I232" s="21"/>
    </row>
    <row r="233" spans="1:9" ht="14" x14ac:dyDescent="0.15">
      <c r="A233" s="22"/>
      <c r="B233" s="21"/>
      <c r="C233" s="21"/>
      <c r="D233" s="21"/>
      <c r="E233" s="21"/>
      <c r="F233" s="23"/>
      <c r="G233" s="23"/>
      <c r="H233" s="23"/>
      <c r="I233" s="21"/>
    </row>
    <row r="234" spans="1:9" ht="14" x14ac:dyDescent="0.15">
      <c r="A234" s="22"/>
      <c r="B234" s="21"/>
      <c r="C234" s="21"/>
      <c r="D234" s="21"/>
      <c r="E234" s="21"/>
      <c r="F234" s="23"/>
      <c r="G234" s="23"/>
      <c r="H234" s="23"/>
      <c r="I234" s="21"/>
    </row>
    <row r="235" spans="1:9" ht="14" x14ac:dyDescent="0.15">
      <c r="A235" s="22"/>
      <c r="B235" s="21"/>
      <c r="C235" s="21"/>
      <c r="D235" s="21"/>
      <c r="E235" s="21"/>
      <c r="F235" s="23"/>
      <c r="G235" s="23"/>
      <c r="H235" s="23"/>
      <c r="I235" s="21"/>
    </row>
    <row r="236" spans="1:9" ht="14" x14ac:dyDescent="0.15">
      <c r="A236" s="22"/>
      <c r="B236" s="21"/>
      <c r="C236" s="21"/>
      <c r="D236" s="21"/>
      <c r="E236" s="21"/>
      <c r="F236" s="23"/>
      <c r="G236" s="23"/>
      <c r="H236" s="23"/>
      <c r="I236" s="21"/>
    </row>
    <row r="237" spans="1:9" ht="14" x14ac:dyDescent="0.15">
      <c r="A237" s="22"/>
      <c r="B237" s="21"/>
      <c r="C237" s="21"/>
      <c r="D237" s="21"/>
      <c r="E237" s="21"/>
      <c r="F237" s="23"/>
      <c r="G237" s="23"/>
      <c r="H237" s="23"/>
      <c r="I237" s="21"/>
    </row>
    <row r="238" spans="1:9" ht="14" x14ac:dyDescent="0.15">
      <c r="A238" s="22"/>
      <c r="B238" s="21"/>
      <c r="C238" s="21"/>
      <c r="D238" s="21"/>
      <c r="E238" s="21"/>
      <c r="F238" s="23"/>
      <c r="G238" s="23"/>
      <c r="H238" s="23"/>
      <c r="I238" s="21"/>
    </row>
    <row r="239" spans="1:9" ht="14" x14ac:dyDescent="0.15">
      <c r="A239" s="22"/>
      <c r="B239" s="21"/>
      <c r="C239" s="21"/>
      <c r="D239" s="21"/>
      <c r="E239" s="21"/>
      <c r="F239" s="23"/>
      <c r="G239" s="23"/>
      <c r="H239" s="23"/>
      <c r="I239" s="21"/>
    </row>
    <row r="240" spans="1:9" ht="14" x14ac:dyDescent="0.15">
      <c r="A240" s="22"/>
      <c r="B240" s="21"/>
      <c r="C240" s="21"/>
      <c r="D240" s="21"/>
      <c r="E240" s="21"/>
      <c r="F240" s="23"/>
      <c r="G240" s="23"/>
      <c r="H240" s="23"/>
      <c r="I240" s="21"/>
    </row>
    <row r="241" spans="1:9" ht="14" x14ac:dyDescent="0.15">
      <c r="A241" s="22"/>
      <c r="B241" s="21"/>
      <c r="C241" s="21"/>
      <c r="D241" s="21"/>
      <c r="E241" s="21"/>
      <c r="F241" s="23"/>
      <c r="G241" s="23"/>
      <c r="H241" s="23"/>
      <c r="I241" s="21"/>
    </row>
    <row r="242" spans="1:9" ht="14" x14ac:dyDescent="0.15">
      <c r="A242" s="22"/>
      <c r="B242" s="21"/>
      <c r="C242" s="21"/>
      <c r="D242" s="21"/>
      <c r="E242" s="21"/>
      <c r="F242" s="23"/>
      <c r="G242" s="23"/>
      <c r="H242" s="23"/>
      <c r="I242" s="21"/>
    </row>
    <row r="243" spans="1:9" ht="14" x14ac:dyDescent="0.15">
      <c r="A243" s="22"/>
      <c r="B243" s="21"/>
      <c r="C243" s="21"/>
      <c r="D243" s="21"/>
      <c r="E243" s="21"/>
      <c r="F243" s="23"/>
      <c r="G243" s="23"/>
      <c r="H243" s="23"/>
      <c r="I243" s="21"/>
    </row>
    <row r="244" spans="1:9" ht="14" x14ac:dyDescent="0.15">
      <c r="A244" s="22"/>
      <c r="B244" s="21"/>
      <c r="C244" s="21"/>
      <c r="D244" s="21"/>
      <c r="E244" s="21"/>
      <c r="F244" s="23"/>
      <c r="G244" s="23"/>
      <c r="H244" s="23"/>
      <c r="I244" s="21"/>
    </row>
    <row r="245" spans="1:9" ht="14" x14ac:dyDescent="0.15">
      <c r="A245" s="22"/>
      <c r="B245" s="21"/>
      <c r="C245" s="21"/>
      <c r="D245" s="21"/>
      <c r="E245" s="21"/>
      <c r="F245" s="23"/>
      <c r="G245" s="23"/>
      <c r="H245" s="23"/>
      <c r="I245" s="21"/>
    </row>
    <row r="246" spans="1:9" ht="14" x14ac:dyDescent="0.15">
      <c r="A246" s="22"/>
      <c r="B246" s="21"/>
      <c r="C246" s="21"/>
      <c r="D246" s="21"/>
      <c r="E246" s="21"/>
      <c r="F246" s="23"/>
      <c r="G246" s="23"/>
      <c r="H246" s="23"/>
      <c r="I246" s="21"/>
    </row>
    <row r="247" spans="1:9" ht="14" x14ac:dyDescent="0.15">
      <c r="A247" s="22"/>
      <c r="B247" s="21"/>
      <c r="C247" s="21"/>
      <c r="D247" s="21"/>
      <c r="E247" s="21"/>
      <c r="F247" s="23"/>
      <c r="G247" s="23"/>
      <c r="H247" s="23"/>
      <c r="I247" s="21"/>
    </row>
    <row r="248" spans="1:9" ht="14" x14ac:dyDescent="0.15">
      <c r="A248" s="22"/>
      <c r="B248" s="21"/>
      <c r="C248" s="21"/>
      <c r="D248" s="21"/>
      <c r="E248" s="21"/>
      <c r="F248" s="23"/>
      <c r="G248" s="23"/>
      <c r="H248" s="23"/>
      <c r="I248" s="21"/>
    </row>
    <row r="249" spans="1:9" ht="14" x14ac:dyDescent="0.15">
      <c r="A249" s="22"/>
      <c r="B249" s="21"/>
      <c r="C249" s="21"/>
      <c r="D249" s="21"/>
      <c r="E249" s="21"/>
      <c r="F249" s="23"/>
      <c r="G249" s="23"/>
      <c r="H249" s="23"/>
      <c r="I249" s="21"/>
    </row>
    <row r="250" spans="1:9" ht="14" x14ac:dyDescent="0.15">
      <c r="A250" s="22"/>
      <c r="B250" s="21"/>
      <c r="C250" s="21"/>
      <c r="D250" s="21"/>
      <c r="E250" s="21"/>
      <c r="F250" s="23"/>
      <c r="G250" s="23"/>
      <c r="H250" s="23"/>
      <c r="I250" s="21"/>
    </row>
    <row r="251" spans="1:9" ht="14" x14ac:dyDescent="0.15">
      <c r="A251" s="22"/>
      <c r="B251" s="21"/>
      <c r="C251" s="21"/>
      <c r="D251" s="21"/>
      <c r="E251" s="21"/>
      <c r="F251" s="23"/>
      <c r="G251" s="23"/>
      <c r="H251" s="23"/>
      <c r="I251" s="21"/>
    </row>
    <row r="252" spans="1:9" ht="14" x14ac:dyDescent="0.15">
      <c r="A252" s="22"/>
      <c r="B252" s="21"/>
      <c r="C252" s="21"/>
      <c r="D252" s="21"/>
      <c r="E252" s="21"/>
      <c r="F252" s="23"/>
      <c r="G252" s="23"/>
      <c r="H252" s="23"/>
      <c r="I252" s="21"/>
    </row>
    <row r="253" spans="1:9" ht="14" x14ac:dyDescent="0.15">
      <c r="A253" s="22"/>
      <c r="B253" s="21"/>
      <c r="C253" s="21"/>
      <c r="D253" s="21"/>
      <c r="E253" s="21"/>
      <c r="F253" s="23"/>
      <c r="G253" s="23"/>
      <c r="H253" s="23"/>
      <c r="I253" s="21"/>
    </row>
    <row r="254" spans="1:9" ht="14" x14ac:dyDescent="0.15">
      <c r="A254" s="22"/>
      <c r="B254" s="21"/>
      <c r="C254" s="21"/>
      <c r="D254" s="21"/>
      <c r="E254" s="21"/>
      <c r="F254" s="23"/>
      <c r="G254" s="23"/>
      <c r="H254" s="23"/>
      <c r="I254" s="21"/>
    </row>
    <row r="255" spans="1:9" ht="14" x14ac:dyDescent="0.15">
      <c r="A255" s="22"/>
      <c r="B255" s="21"/>
      <c r="C255" s="21"/>
      <c r="D255" s="21"/>
      <c r="E255" s="21"/>
      <c r="F255" s="23"/>
      <c r="G255" s="23"/>
      <c r="H255" s="23"/>
      <c r="I255" s="21"/>
    </row>
    <row r="256" spans="1:9" ht="14" x14ac:dyDescent="0.15">
      <c r="A256" s="22"/>
      <c r="B256" s="21"/>
      <c r="C256" s="21"/>
      <c r="D256" s="21"/>
      <c r="E256" s="21"/>
      <c r="F256" s="23"/>
      <c r="G256" s="23"/>
      <c r="H256" s="23"/>
      <c r="I256" s="21"/>
    </row>
    <row r="257" spans="1:9" ht="14" x14ac:dyDescent="0.15">
      <c r="A257" s="22"/>
      <c r="B257" s="21"/>
      <c r="C257" s="21"/>
      <c r="D257" s="21"/>
      <c r="E257" s="21"/>
      <c r="F257" s="23"/>
      <c r="G257" s="23"/>
      <c r="H257" s="23"/>
      <c r="I257" s="21"/>
    </row>
    <row r="258" spans="1:9" ht="14" x14ac:dyDescent="0.15">
      <c r="A258" s="22"/>
      <c r="B258" s="21"/>
      <c r="C258" s="21"/>
      <c r="D258" s="21"/>
      <c r="E258" s="21"/>
      <c r="F258" s="23"/>
      <c r="G258" s="23"/>
      <c r="H258" s="23"/>
      <c r="I258" s="21"/>
    </row>
    <row r="259" spans="1:9" ht="14" x14ac:dyDescent="0.15">
      <c r="A259" s="22"/>
      <c r="B259" s="21"/>
      <c r="C259" s="21"/>
      <c r="D259" s="21"/>
      <c r="E259" s="21"/>
      <c r="F259" s="23"/>
      <c r="G259" s="23"/>
      <c r="H259" s="23"/>
      <c r="I259" s="21"/>
    </row>
    <row r="260" spans="1:9" ht="14" x14ac:dyDescent="0.15">
      <c r="A260" s="22"/>
      <c r="B260" s="21"/>
      <c r="C260" s="21"/>
      <c r="D260" s="21"/>
      <c r="E260" s="21"/>
      <c r="F260" s="23"/>
      <c r="G260" s="23"/>
      <c r="H260" s="23"/>
      <c r="I260" s="21"/>
    </row>
    <row r="261" spans="1:9" ht="14" x14ac:dyDescent="0.15">
      <c r="A261" s="22"/>
      <c r="B261" s="21"/>
      <c r="C261" s="21"/>
      <c r="D261" s="21"/>
      <c r="E261" s="21"/>
      <c r="F261" s="23"/>
      <c r="G261" s="23"/>
      <c r="H261" s="23"/>
      <c r="I261" s="21"/>
    </row>
    <row r="262" spans="1:9" ht="14" x14ac:dyDescent="0.15">
      <c r="A262" s="22"/>
      <c r="B262" s="21"/>
      <c r="C262" s="21"/>
      <c r="D262" s="21"/>
      <c r="E262" s="21"/>
      <c r="F262" s="23"/>
      <c r="G262" s="23"/>
      <c r="H262" s="23"/>
      <c r="I262" s="21"/>
    </row>
    <row r="263" spans="1:9" ht="14" x14ac:dyDescent="0.15">
      <c r="A263" s="22"/>
      <c r="B263" s="21"/>
      <c r="C263" s="21"/>
      <c r="D263" s="21"/>
      <c r="E263" s="21"/>
      <c r="F263" s="23"/>
      <c r="G263" s="23"/>
      <c r="H263" s="23"/>
      <c r="I263" s="21"/>
    </row>
    <row r="264" spans="1:9" ht="14" x14ac:dyDescent="0.15">
      <c r="A264" s="22"/>
      <c r="B264" s="21"/>
      <c r="C264" s="21"/>
      <c r="D264" s="21"/>
      <c r="E264" s="21"/>
      <c r="F264" s="23"/>
      <c r="G264" s="23"/>
      <c r="H264" s="23"/>
      <c r="I264" s="21"/>
    </row>
    <row r="265" spans="1:9" ht="14" x14ac:dyDescent="0.15">
      <c r="A265" s="22"/>
      <c r="B265" s="21"/>
      <c r="C265" s="21"/>
      <c r="D265" s="21"/>
      <c r="E265" s="21"/>
      <c r="F265" s="23"/>
      <c r="G265" s="23"/>
      <c r="H265" s="23"/>
      <c r="I265" s="21"/>
    </row>
    <row r="266" spans="1:9" ht="14" x14ac:dyDescent="0.15">
      <c r="A266" s="22"/>
      <c r="B266" s="21"/>
      <c r="C266" s="21"/>
      <c r="D266" s="21"/>
      <c r="E266" s="21"/>
      <c r="F266" s="23"/>
      <c r="G266" s="23"/>
      <c r="H266" s="23"/>
      <c r="I266" s="21"/>
    </row>
    <row r="267" spans="1:9" ht="14" x14ac:dyDescent="0.15">
      <c r="A267" s="22"/>
      <c r="B267" s="21"/>
      <c r="C267" s="21"/>
      <c r="D267" s="21"/>
      <c r="E267" s="21"/>
      <c r="F267" s="23"/>
      <c r="G267" s="23"/>
      <c r="H267" s="23"/>
      <c r="I267" s="21"/>
    </row>
    <row r="268" spans="1:9" ht="14" x14ac:dyDescent="0.15">
      <c r="A268" s="22"/>
      <c r="B268" s="21"/>
      <c r="C268" s="21"/>
      <c r="D268" s="21"/>
      <c r="E268" s="21"/>
      <c r="F268" s="23"/>
      <c r="G268" s="23"/>
      <c r="H268" s="23"/>
      <c r="I268" s="21"/>
    </row>
    <row r="269" spans="1:9" ht="14" x14ac:dyDescent="0.15">
      <c r="A269" s="22"/>
      <c r="B269" s="21"/>
      <c r="C269" s="21"/>
      <c r="D269" s="21"/>
      <c r="E269" s="21"/>
      <c r="F269" s="23"/>
      <c r="G269" s="23"/>
      <c r="H269" s="23"/>
      <c r="I269" s="21"/>
    </row>
    <row r="270" spans="1:9" ht="14" x14ac:dyDescent="0.15">
      <c r="A270" s="22"/>
      <c r="B270" s="21"/>
      <c r="C270" s="21"/>
      <c r="D270" s="21"/>
      <c r="E270" s="21"/>
      <c r="F270" s="23"/>
      <c r="G270" s="23"/>
      <c r="H270" s="23"/>
      <c r="I270" s="21"/>
    </row>
    <row r="271" spans="1:9" ht="14" x14ac:dyDescent="0.15">
      <c r="A271" s="22"/>
      <c r="B271" s="21"/>
      <c r="C271" s="21"/>
      <c r="D271" s="21"/>
      <c r="E271" s="21"/>
      <c r="F271" s="23"/>
      <c r="G271" s="23"/>
      <c r="H271" s="23"/>
      <c r="I271" s="21"/>
    </row>
    <row r="272" spans="1:9" ht="14" x14ac:dyDescent="0.15">
      <c r="A272" s="22"/>
      <c r="B272" s="21"/>
      <c r="C272" s="21"/>
      <c r="D272" s="21"/>
      <c r="E272" s="21"/>
      <c r="F272" s="23"/>
      <c r="G272" s="23"/>
      <c r="H272" s="23"/>
      <c r="I272" s="21"/>
    </row>
    <row r="273" spans="1:9" ht="14" x14ac:dyDescent="0.15">
      <c r="A273" s="22"/>
      <c r="B273" s="21"/>
      <c r="C273" s="21"/>
      <c r="D273" s="21"/>
      <c r="E273" s="21"/>
      <c r="F273" s="23"/>
      <c r="G273" s="23"/>
      <c r="H273" s="23"/>
      <c r="I273" s="21"/>
    </row>
    <row r="274" spans="1:9" ht="14" x14ac:dyDescent="0.15">
      <c r="A274" s="22"/>
      <c r="B274" s="21"/>
      <c r="C274" s="21"/>
      <c r="D274" s="21"/>
      <c r="E274" s="21"/>
      <c r="F274" s="23"/>
      <c r="G274" s="23"/>
      <c r="H274" s="23"/>
      <c r="I274" s="21"/>
    </row>
    <row r="275" spans="1:9" ht="14" x14ac:dyDescent="0.15">
      <c r="A275" s="22"/>
      <c r="B275" s="21"/>
      <c r="C275" s="21"/>
      <c r="D275" s="21"/>
      <c r="E275" s="21"/>
      <c r="F275" s="23"/>
      <c r="G275" s="23"/>
      <c r="H275" s="23"/>
      <c r="I275" s="21"/>
    </row>
    <row r="276" spans="1:9" ht="14" x14ac:dyDescent="0.15">
      <c r="A276" s="22"/>
      <c r="B276" s="21"/>
      <c r="C276" s="21"/>
      <c r="D276" s="21"/>
      <c r="E276" s="21"/>
      <c r="F276" s="23"/>
      <c r="G276" s="23"/>
      <c r="H276" s="23"/>
      <c r="I276" s="21"/>
    </row>
    <row r="277" spans="1:9" ht="14" x14ac:dyDescent="0.15">
      <c r="A277" s="22"/>
      <c r="B277" s="21"/>
      <c r="C277" s="21"/>
      <c r="D277" s="21"/>
      <c r="E277" s="21"/>
      <c r="F277" s="23"/>
      <c r="G277" s="23"/>
      <c r="H277" s="23"/>
      <c r="I277" s="21"/>
    </row>
    <row r="278" spans="1:9" ht="14" x14ac:dyDescent="0.15">
      <c r="A278" s="22"/>
      <c r="B278" s="21"/>
      <c r="C278" s="21"/>
      <c r="D278" s="21"/>
      <c r="E278" s="21"/>
      <c r="F278" s="23"/>
      <c r="G278" s="23"/>
      <c r="H278" s="23"/>
      <c r="I278" s="21"/>
    </row>
    <row r="279" spans="1:9" ht="14" x14ac:dyDescent="0.15">
      <c r="A279" s="22"/>
      <c r="B279" s="21"/>
      <c r="C279" s="21"/>
      <c r="D279" s="21"/>
      <c r="E279" s="21"/>
      <c r="F279" s="23"/>
      <c r="G279" s="23"/>
      <c r="H279" s="23"/>
      <c r="I279" s="21"/>
    </row>
    <row r="280" spans="1:9" ht="14" x14ac:dyDescent="0.15">
      <c r="A280" s="22"/>
      <c r="B280" s="21"/>
      <c r="C280" s="21"/>
      <c r="D280" s="21"/>
      <c r="E280" s="21"/>
      <c r="F280" s="23"/>
      <c r="G280" s="23"/>
      <c r="H280" s="23"/>
      <c r="I280" s="21"/>
    </row>
    <row r="281" spans="1:9" ht="14" x14ac:dyDescent="0.15">
      <c r="A281" s="22"/>
      <c r="B281" s="21"/>
      <c r="C281" s="21"/>
      <c r="D281" s="21"/>
      <c r="E281" s="21"/>
      <c r="F281" s="23"/>
      <c r="G281" s="23"/>
      <c r="H281" s="23"/>
      <c r="I281" s="21"/>
    </row>
    <row r="282" spans="1:9" ht="14" x14ac:dyDescent="0.15">
      <c r="A282" s="22"/>
      <c r="B282" s="21"/>
      <c r="C282" s="21"/>
      <c r="D282" s="21"/>
      <c r="E282" s="21"/>
      <c r="F282" s="23"/>
      <c r="G282" s="23"/>
      <c r="H282" s="23"/>
      <c r="I282" s="21"/>
    </row>
    <row r="283" spans="1:9" ht="14" x14ac:dyDescent="0.15">
      <c r="A283" s="22"/>
      <c r="B283" s="21"/>
      <c r="C283" s="21"/>
      <c r="D283" s="21"/>
      <c r="E283" s="21"/>
      <c r="F283" s="23"/>
      <c r="G283" s="23"/>
      <c r="H283" s="23"/>
      <c r="I283" s="21"/>
    </row>
    <row r="284" spans="1:9" ht="14" x14ac:dyDescent="0.15">
      <c r="A284" s="22"/>
      <c r="B284" s="21"/>
      <c r="C284" s="21"/>
      <c r="D284" s="21"/>
      <c r="E284" s="21"/>
      <c r="F284" s="23"/>
      <c r="G284" s="23"/>
      <c r="H284" s="23"/>
      <c r="I284" s="21"/>
    </row>
    <row r="285" spans="1:9" ht="14" x14ac:dyDescent="0.15">
      <c r="A285" s="22"/>
      <c r="B285" s="21"/>
      <c r="C285" s="21"/>
      <c r="D285" s="21"/>
      <c r="E285" s="21"/>
      <c r="F285" s="23"/>
      <c r="G285" s="23"/>
      <c r="H285" s="23"/>
      <c r="I285" s="21"/>
    </row>
    <row r="286" spans="1:9" ht="14" x14ac:dyDescent="0.15">
      <c r="A286" s="22"/>
      <c r="B286" s="21"/>
      <c r="C286" s="21"/>
      <c r="D286" s="21"/>
      <c r="E286" s="21"/>
      <c r="F286" s="23"/>
      <c r="G286" s="23"/>
      <c r="H286" s="23"/>
      <c r="I286" s="21"/>
    </row>
    <row r="287" spans="1:9" ht="14" x14ac:dyDescent="0.15">
      <c r="A287" s="22"/>
      <c r="B287" s="21"/>
      <c r="C287" s="21"/>
      <c r="D287" s="21"/>
      <c r="E287" s="21"/>
      <c r="F287" s="23"/>
      <c r="G287" s="23"/>
      <c r="H287" s="23"/>
      <c r="I287" s="21"/>
    </row>
    <row r="288" spans="1:9" ht="14" x14ac:dyDescent="0.15">
      <c r="A288" s="22"/>
      <c r="B288" s="21"/>
      <c r="C288" s="21"/>
      <c r="D288" s="21"/>
      <c r="E288" s="21"/>
      <c r="F288" s="23"/>
      <c r="G288" s="23"/>
      <c r="H288" s="23"/>
      <c r="I288" s="21"/>
    </row>
    <row r="289" spans="1:9" ht="14" x14ac:dyDescent="0.15">
      <c r="A289" s="22"/>
      <c r="B289" s="21"/>
      <c r="C289" s="21"/>
      <c r="D289" s="21"/>
      <c r="E289" s="21"/>
      <c r="F289" s="23"/>
      <c r="G289" s="23"/>
      <c r="H289" s="23"/>
      <c r="I289" s="21"/>
    </row>
    <row r="290" spans="1:9" ht="14" x14ac:dyDescent="0.15">
      <c r="A290" s="22"/>
      <c r="B290" s="21"/>
      <c r="C290" s="21"/>
      <c r="D290" s="21"/>
      <c r="E290" s="21"/>
      <c r="F290" s="23"/>
      <c r="G290" s="23"/>
      <c r="H290" s="23"/>
      <c r="I290" s="21"/>
    </row>
    <row r="291" spans="1:9" ht="14" x14ac:dyDescent="0.15">
      <c r="A291" s="22"/>
      <c r="B291" s="21"/>
      <c r="C291" s="21"/>
      <c r="D291" s="21"/>
      <c r="E291" s="21"/>
      <c r="F291" s="23"/>
      <c r="G291" s="23"/>
      <c r="H291" s="23"/>
      <c r="I291" s="21"/>
    </row>
    <row r="292" spans="1:9" ht="14" x14ac:dyDescent="0.15">
      <c r="A292" s="22"/>
      <c r="B292" s="21"/>
      <c r="C292" s="21"/>
      <c r="D292" s="21"/>
      <c r="E292" s="21"/>
      <c r="F292" s="23"/>
      <c r="G292" s="23"/>
      <c r="H292" s="23"/>
      <c r="I292" s="21"/>
    </row>
    <row r="293" spans="1:9" ht="14" x14ac:dyDescent="0.15">
      <c r="A293" s="22"/>
      <c r="B293" s="21"/>
      <c r="C293" s="21"/>
      <c r="D293" s="21"/>
      <c r="E293" s="21"/>
      <c r="F293" s="23"/>
      <c r="G293" s="23"/>
      <c r="H293" s="23"/>
      <c r="I293" s="21"/>
    </row>
    <row r="294" spans="1:9" ht="14" x14ac:dyDescent="0.15">
      <c r="A294" s="22"/>
      <c r="B294" s="21"/>
      <c r="C294" s="21"/>
      <c r="D294" s="21"/>
      <c r="E294" s="21"/>
      <c r="F294" s="23"/>
      <c r="G294" s="23"/>
      <c r="H294" s="23"/>
      <c r="I294" s="21"/>
    </row>
    <row r="295" spans="1:9" ht="14" x14ac:dyDescent="0.15">
      <c r="A295" s="22"/>
      <c r="B295" s="21"/>
      <c r="C295" s="21"/>
      <c r="D295" s="21"/>
      <c r="E295" s="21"/>
      <c r="F295" s="23"/>
      <c r="G295" s="23"/>
      <c r="H295" s="23"/>
      <c r="I295" s="21"/>
    </row>
    <row r="296" spans="1:9" ht="14" x14ac:dyDescent="0.15">
      <c r="A296" s="22"/>
      <c r="B296" s="21"/>
      <c r="C296" s="21"/>
      <c r="D296" s="21"/>
      <c r="E296" s="21"/>
      <c r="F296" s="23"/>
      <c r="G296" s="23"/>
      <c r="H296" s="23"/>
      <c r="I296" s="21"/>
    </row>
    <row r="297" spans="1:9" ht="14" x14ac:dyDescent="0.15">
      <c r="A297" s="22"/>
      <c r="B297" s="21"/>
      <c r="C297" s="21"/>
      <c r="D297" s="21"/>
      <c r="E297" s="21"/>
      <c r="F297" s="23"/>
      <c r="G297" s="23"/>
      <c r="H297" s="23"/>
      <c r="I297" s="21"/>
    </row>
    <row r="298" spans="1:9" ht="14" x14ac:dyDescent="0.15">
      <c r="A298" s="22"/>
      <c r="B298" s="21"/>
      <c r="C298" s="21"/>
      <c r="D298" s="21"/>
      <c r="E298" s="21"/>
      <c r="F298" s="23"/>
      <c r="G298" s="23"/>
      <c r="H298" s="23"/>
      <c r="I298" s="21"/>
    </row>
    <row r="299" spans="1:9" ht="14" x14ac:dyDescent="0.15">
      <c r="A299" s="22"/>
      <c r="B299" s="21"/>
      <c r="C299" s="21"/>
      <c r="D299" s="21"/>
      <c r="E299" s="21"/>
      <c r="F299" s="23"/>
      <c r="G299" s="23"/>
      <c r="H299" s="23"/>
      <c r="I299" s="21"/>
    </row>
    <row r="300" spans="1:9" ht="14" x14ac:dyDescent="0.15">
      <c r="A300" s="22"/>
      <c r="B300" s="21"/>
      <c r="C300" s="21"/>
      <c r="D300" s="21"/>
      <c r="E300" s="21"/>
      <c r="F300" s="23"/>
      <c r="G300" s="23"/>
      <c r="H300" s="23"/>
      <c r="I300" s="21"/>
    </row>
  </sheetData>
  <dataValidations count="1">
    <dataValidation type="decimal" allowBlank="1" sqref="K2:L499" xr:uid="{00000000-0002-0000-0200-000004000000}">
      <formula1>0</formula1>
      <formula2>1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operator="equal" allowBlank="1" showErrorMessage="1" xr:uid="{00000000-0002-0000-0200-000000000000}">
          <x14:formula1>
            <xm:f>Listes!$A$2:$A$10</xm:f>
          </x14:formula1>
          <x14:formula2>
            <xm:f>0</xm:f>
          </x14:formula2>
          <xm:sqref>B2:B120</xm:sqref>
        </x14:dataValidation>
        <x14:dataValidation type="list" operator="equal" allowBlank="1" showErrorMessage="1" xr:uid="{00000000-0002-0000-0200-000001000000}">
          <x14:formula1>
            <xm:f>Listes!$B$2:$B$12</xm:f>
          </x14:formula1>
          <x14:formula2>
            <xm:f>0</xm:f>
          </x14:formula2>
          <xm:sqref>C2:C120</xm:sqref>
        </x14:dataValidation>
        <x14:dataValidation type="list" operator="equal" allowBlank="1" showErrorMessage="1" xr:uid="{00000000-0002-0000-0200-000002000000}">
          <x14:formula1>
            <xm:f>Listes!$C$2:$C$18</xm:f>
          </x14:formula1>
          <x14:formula2>
            <xm:f>0</xm:f>
          </x14:formula2>
          <xm:sqref>D2:D120</xm:sqref>
        </x14:dataValidation>
        <x14:dataValidation type="list" operator="equal" allowBlank="1" xr:uid="{00000000-0002-0000-0200-000003000000}">
          <x14:formula1>
            <xm:f>Entites!$A$2:$A$200</xm:f>
          </x14:formula1>
          <x14:formula2>
            <xm:f>0</xm:f>
          </x14:formula2>
          <xm:sqref>J2:J499</xm:sqref>
        </x14:dataValidation>
        <x14:dataValidation operator="equal" allowBlank="1" showErrorMessage="1" xr:uid="{00000000-0002-0000-0200-000005000000}">
          <x14:formula1>
            <xm:f>Listes!$E$2:$E$6</xm:f>
          </x14:formula1>
          <x14:formula2>
            <xm:f>0</xm:f>
          </x14:formula2>
          <xm:sqref>Q2:Q120</xm:sqref>
        </x14:dataValidation>
        <x14:dataValidation operator="equal" allowBlank="1" showErrorMessage="1" xr:uid="{00000000-0002-0000-0200-000006000000}">
          <x14:formula1>
            <xm:f>Listes!$F$2:$F$6</xm:f>
          </x14:formula1>
          <x14:formula2>
            <xm:f>0</xm:f>
          </x14:formula2>
          <xm:sqref>S2:S120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1"/>
  <sheetViews>
    <sheetView showGridLines="0" zoomScale="80" zoomScaleNormal="80" workbookViewId="0">
      <selection activeCell="A2" sqref="A2:F3"/>
    </sheetView>
  </sheetViews>
  <sheetFormatPr baseColWidth="10" defaultColWidth="8.5" defaultRowHeight="13" x14ac:dyDescent="0.15"/>
  <cols>
    <col min="1" max="1" width="12" customWidth="1"/>
    <col min="2" max="2" width="18" customWidth="1"/>
    <col min="3" max="3" width="20" customWidth="1"/>
    <col min="4" max="5" width="18" customWidth="1"/>
    <col min="6" max="6" width="30" customWidth="1"/>
  </cols>
  <sheetData>
    <row r="1" spans="1:6" ht="30" x14ac:dyDescent="0.15">
      <c r="A1" s="24" t="s">
        <v>59</v>
      </c>
      <c r="B1" s="24" t="s">
        <v>60</v>
      </c>
      <c r="C1" s="24" t="s">
        <v>62</v>
      </c>
      <c r="D1" s="24" t="s">
        <v>77</v>
      </c>
      <c r="E1" s="24" t="s">
        <v>78</v>
      </c>
      <c r="F1" s="24" t="s">
        <v>67</v>
      </c>
    </row>
    <row r="2" spans="1:6" ht="14" x14ac:dyDescent="0.15">
      <c r="A2" s="18"/>
      <c r="B2" s="19"/>
      <c r="C2" s="19"/>
      <c r="D2" s="19"/>
      <c r="E2" s="20"/>
      <c r="F2" s="19"/>
    </row>
    <row r="3" spans="1:6" ht="14" x14ac:dyDescent="0.15">
      <c r="A3" s="18"/>
      <c r="B3" s="19"/>
      <c r="C3" s="19"/>
      <c r="D3" s="19"/>
      <c r="E3" s="20"/>
      <c r="F3" s="19"/>
    </row>
    <row r="4" spans="1:6" ht="14" x14ac:dyDescent="0.15">
      <c r="A4" s="18"/>
      <c r="B4" s="19"/>
      <c r="C4" s="19"/>
      <c r="D4" s="19"/>
      <c r="E4" s="25"/>
      <c r="F4" s="19"/>
    </row>
    <row r="5" spans="1:6" ht="14" x14ac:dyDescent="0.15">
      <c r="A5" s="18"/>
      <c r="B5" s="19"/>
      <c r="C5" s="19"/>
      <c r="D5" s="19"/>
      <c r="E5" s="25"/>
      <c r="F5" s="19"/>
    </row>
    <row r="6" spans="1:6" ht="14" x14ac:dyDescent="0.15">
      <c r="A6" s="18"/>
      <c r="B6" s="19"/>
      <c r="C6" s="19"/>
      <c r="D6" s="19"/>
      <c r="E6" s="25"/>
      <c r="F6" s="19"/>
    </row>
    <row r="7" spans="1:6" ht="14" x14ac:dyDescent="0.15">
      <c r="A7" s="18"/>
      <c r="B7" s="19"/>
      <c r="C7" s="19"/>
      <c r="D7" s="19"/>
      <c r="E7" s="25"/>
      <c r="F7" s="19"/>
    </row>
    <row r="8" spans="1:6" ht="14" x14ac:dyDescent="0.15">
      <c r="A8" s="18"/>
      <c r="B8" s="19"/>
      <c r="C8" s="19"/>
      <c r="D8" s="19"/>
      <c r="E8" s="25"/>
      <c r="F8" s="19"/>
    </row>
    <row r="9" spans="1:6" ht="14" x14ac:dyDescent="0.15">
      <c r="A9" s="18"/>
      <c r="B9" s="19"/>
      <c r="C9" s="19"/>
      <c r="D9" s="19"/>
      <c r="E9" s="25"/>
      <c r="F9" s="19"/>
    </row>
    <row r="10" spans="1:6" ht="14" x14ac:dyDescent="0.15">
      <c r="A10" s="18"/>
      <c r="B10" s="19"/>
      <c r="C10" s="19"/>
      <c r="D10" s="19"/>
      <c r="E10" s="25"/>
      <c r="F10" s="19"/>
    </row>
    <row r="11" spans="1:6" ht="14" x14ac:dyDescent="0.15">
      <c r="A11" s="18"/>
      <c r="B11" s="19"/>
      <c r="C11" s="19"/>
      <c r="D11" s="19"/>
      <c r="E11" s="25"/>
      <c r="F11" s="19"/>
    </row>
    <row r="12" spans="1:6" ht="14" x14ac:dyDescent="0.15">
      <c r="A12" s="18"/>
      <c r="B12" s="19"/>
      <c r="C12" s="19"/>
      <c r="D12" s="19"/>
      <c r="E12" s="25"/>
      <c r="F12" s="19"/>
    </row>
    <row r="13" spans="1:6" ht="14" x14ac:dyDescent="0.15">
      <c r="A13" s="18"/>
      <c r="B13" s="19"/>
      <c r="C13" s="19"/>
      <c r="D13" s="19"/>
      <c r="E13" s="25"/>
      <c r="F13" s="19"/>
    </row>
    <row r="14" spans="1:6" ht="14" x14ac:dyDescent="0.15">
      <c r="A14" s="18"/>
      <c r="B14" s="19"/>
      <c r="C14" s="19"/>
      <c r="D14" s="19"/>
      <c r="E14" s="25"/>
      <c r="F14" s="19"/>
    </row>
    <row r="15" spans="1:6" ht="14" x14ac:dyDescent="0.15">
      <c r="A15" s="18"/>
      <c r="B15" s="19"/>
      <c r="C15" s="19"/>
      <c r="D15" s="19"/>
      <c r="E15" s="25"/>
      <c r="F15" s="19"/>
    </row>
    <row r="16" spans="1:6" ht="14" x14ac:dyDescent="0.15">
      <c r="A16" s="18"/>
      <c r="B16" s="19"/>
      <c r="C16" s="19"/>
      <c r="D16" s="19"/>
      <c r="E16" s="25"/>
      <c r="F16" s="19"/>
    </row>
    <row r="17" spans="1:6" ht="14" x14ac:dyDescent="0.15">
      <c r="A17" s="18"/>
      <c r="B17" s="19"/>
      <c r="C17" s="19"/>
      <c r="D17" s="19"/>
      <c r="E17" s="25"/>
      <c r="F17" s="19"/>
    </row>
    <row r="18" spans="1:6" ht="14" x14ac:dyDescent="0.15">
      <c r="A18" s="18"/>
      <c r="B18" s="19"/>
      <c r="C18" s="19"/>
      <c r="D18" s="19"/>
      <c r="E18" s="25"/>
      <c r="F18" s="19"/>
    </row>
    <row r="19" spans="1:6" ht="14" x14ac:dyDescent="0.15">
      <c r="A19" s="18"/>
      <c r="B19" s="19"/>
      <c r="C19" s="19"/>
      <c r="D19" s="19"/>
      <c r="E19" s="25"/>
      <c r="F19" s="19"/>
    </row>
    <row r="20" spans="1:6" ht="14" x14ac:dyDescent="0.15">
      <c r="A20" s="18"/>
      <c r="B20" s="19"/>
      <c r="C20" s="19"/>
      <c r="D20" s="19"/>
      <c r="E20" s="25"/>
      <c r="F20" s="19"/>
    </row>
    <row r="21" spans="1:6" ht="14" x14ac:dyDescent="0.15">
      <c r="A21" s="18"/>
      <c r="B21" s="19"/>
      <c r="C21" s="19"/>
      <c r="D21" s="19"/>
      <c r="E21" s="25"/>
      <c r="F21" s="19"/>
    </row>
    <row r="22" spans="1:6" ht="14" x14ac:dyDescent="0.15">
      <c r="A22" s="18"/>
      <c r="B22" s="19"/>
      <c r="C22" s="19"/>
      <c r="D22" s="19"/>
      <c r="E22" s="25"/>
      <c r="F22" s="19"/>
    </row>
    <row r="23" spans="1:6" ht="14" x14ac:dyDescent="0.15">
      <c r="A23" s="18"/>
      <c r="B23" s="19"/>
      <c r="C23" s="19"/>
      <c r="D23" s="19"/>
      <c r="E23" s="25"/>
      <c r="F23" s="19"/>
    </row>
    <row r="24" spans="1:6" ht="14" x14ac:dyDescent="0.15">
      <c r="A24" s="18"/>
      <c r="B24" s="19"/>
      <c r="C24" s="19"/>
      <c r="D24" s="19"/>
      <c r="E24" s="25"/>
      <c r="F24" s="19"/>
    </row>
    <row r="25" spans="1:6" ht="14" x14ac:dyDescent="0.15">
      <c r="A25" s="18"/>
      <c r="B25" s="19"/>
      <c r="C25" s="19"/>
      <c r="D25" s="19"/>
      <c r="E25" s="25"/>
      <c r="F25" s="19"/>
    </row>
    <row r="26" spans="1:6" ht="14" x14ac:dyDescent="0.15">
      <c r="A26" s="18"/>
      <c r="B26" s="19"/>
      <c r="C26" s="19"/>
      <c r="D26" s="19"/>
      <c r="E26" s="25"/>
      <c r="F26" s="19"/>
    </row>
    <row r="27" spans="1:6" ht="14" x14ac:dyDescent="0.15">
      <c r="A27" s="18"/>
      <c r="B27" s="19"/>
      <c r="C27" s="19"/>
      <c r="D27" s="19"/>
      <c r="E27" s="25"/>
      <c r="F27" s="19"/>
    </row>
    <row r="28" spans="1:6" ht="14" x14ac:dyDescent="0.15">
      <c r="A28" s="18"/>
      <c r="B28" s="19"/>
      <c r="C28" s="19"/>
      <c r="D28" s="19"/>
      <c r="E28" s="25"/>
      <c r="F28" s="19"/>
    </row>
    <row r="29" spans="1:6" ht="14" x14ac:dyDescent="0.15">
      <c r="A29" s="18"/>
      <c r="B29" s="19"/>
      <c r="C29" s="19"/>
      <c r="D29" s="19"/>
      <c r="E29" s="25"/>
      <c r="F29" s="19"/>
    </row>
    <row r="30" spans="1:6" ht="14" x14ac:dyDescent="0.15">
      <c r="A30" s="18"/>
      <c r="B30" s="19"/>
      <c r="C30" s="19"/>
      <c r="D30" s="19"/>
      <c r="E30" s="25"/>
      <c r="F30" s="19"/>
    </row>
    <row r="31" spans="1:6" ht="14" x14ac:dyDescent="0.15">
      <c r="A31" s="18"/>
      <c r="B31" s="19"/>
      <c r="C31" s="19"/>
      <c r="D31" s="19"/>
      <c r="E31" s="25"/>
      <c r="F31" s="19"/>
    </row>
    <row r="32" spans="1:6" ht="14" x14ac:dyDescent="0.15">
      <c r="A32" s="18"/>
      <c r="B32" s="19"/>
      <c r="C32" s="19"/>
      <c r="D32" s="19"/>
      <c r="E32" s="25"/>
      <c r="F32" s="19"/>
    </row>
    <row r="33" spans="1:6" ht="14" x14ac:dyDescent="0.15">
      <c r="A33" s="18"/>
      <c r="B33" s="19"/>
      <c r="C33" s="19"/>
      <c r="D33" s="19"/>
      <c r="E33" s="25"/>
      <c r="F33" s="19"/>
    </row>
    <row r="34" spans="1:6" ht="14" x14ac:dyDescent="0.15">
      <c r="A34" s="18"/>
      <c r="B34" s="19"/>
      <c r="C34" s="19"/>
      <c r="D34" s="19"/>
      <c r="E34" s="25"/>
      <c r="F34" s="19"/>
    </row>
    <row r="35" spans="1:6" ht="14" x14ac:dyDescent="0.15">
      <c r="A35" s="18"/>
      <c r="B35" s="19"/>
      <c r="C35" s="19"/>
      <c r="D35" s="19"/>
      <c r="E35" s="25"/>
      <c r="F35" s="19"/>
    </row>
    <row r="36" spans="1:6" ht="14" x14ac:dyDescent="0.15">
      <c r="A36" s="18"/>
      <c r="B36" s="19"/>
      <c r="C36" s="19"/>
      <c r="D36" s="19"/>
      <c r="E36" s="25"/>
      <c r="F36" s="19"/>
    </row>
    <row r="37" spans="1:6" ht="14" x14ac:dyDescent="0.15">
      <c r="A37" s="18"/>
      <c r="B37" s="19"/>
      <c r="C37" s="19"/>
      <c r="D37" s="19"/>
      <c r="E37" s="25"/>
      <c r="F37" s="19"/>
    </row>
    <row r="38" spans="1:6" ht="14" x14ac:dyDescent="0.15">
      <c r="A38" s="18"/>
      <c r="B38" s="19"/>
      <c r="C38" s="19"/>
      <c r="D38" s="19"/>
      <c r="E38" s="25"/>
      <c r="F38" s="19"/>
    </row>
    <row r="39" spans="1:6" ht="14" x14ac:dyDescent="0.15">
      <c r="A39" s="18"/>
      <c r="B39" s="19"/>
      <c r="C39" s="19"/>
      <c r="D39" s="19"/>
      <c r="E39" s="25"/>
      <c r="F39" s="19"/>
    </row>
    <row r="40" spans="1:6" ht="14" x14ac:dyDescent="0.15">
      <c r="A40" s="18"/>
      <c r="B40" s="19"/>
      <c r="C40" s="19"/>
      <c r="D40" s="19"/>
      <c r="E40" s="25"/>
      <c r="F40" s="19"/>
    </row>
    <row r="41" spans="1:6" ht="14" x14ac:dyDescent="0.15">
      <c r="A41" s="18"/>
      <c r="B41" s="19"/>
      <c r="C41" s="19"/>
      <c r="D41" s="19"/>
      <c r="E41" s="25"/>
      <c r="F41" s="19"/>
    </row>
    <row r="42" spans="1:6" ht="14" x14ac:dyDescent="0.15">
      <c r="A42" s="18"/>
      <c r="B42" s="19"/>
      <c r="C42" s="19"/>
      <c r="D42" s="19"/>
      <c r="E42" s="25"/>
      <c r="F42" s="19"/>
    </row>
    <row r="43" spans="1:6" ht="14" x14ac:dyDescent="0.15">
      <c r="A43" s="18"/>
      <c r="B43" s="19"/>
      <c r="C43" s="19"/>
      <c r="D43" s="19"/>
      <c r="E43" s="25"/>
      <c r="F43" s="19"/>
    </row>
    <row r="44" spans="1:6" ht="14" x14ac:dyDescent="0.15">
      <c r="A44" s="18"/>
      <c r="B44" s="19"/>
      <c r="C44" s="19"/>
      <c r="D44" s="19"/>
      <c r="E44" s="25"/>
      <c r="F44" s="19"/>
    </row>
    <row r="45" spans="1:6" ht="14" x14ac:dyDescent="0.15">
      <c r="A45" s="18"/>
      <c r="B45" s="19"/>
      <c r="C45" s="19"/>
      <c r="D45" s="19"/>
      <c r="E45" s="25"/>
      <c r="F45" s="19"/>
    </row>
    <row r="46" spans="1:6" ht="14" x14ac:dyDescent="0.15">
      <c r="A46" s="18"/>
      <c r="B46" s="19"/>
      <c r="C46" s="19"/>
      <c r="D46" s="19"/>
      <c r="E46" s="25"/>
      <c r="F46" s="19"/>
    </row>
    <row r="47" spans="1:6" ht="14" x14ac:dyDescent="0.15">
      <c r="A47" s="18"/>
      <c r="B47" s="19"/>
      <c r="C47" s="19"/>
      <c r="D47" s="19"/>
      <c r="E47" s="25"/>
      <c r="F47" s="19"/>
    </row>
    <row r="48" spans="1:6" ht="14" x14ac:dyDescent="0.15">
      <c r="A48" s="18"/>
      <c r="B48" s="19"/>
      <c r="C48" s="19"/>
      <c r="D48" s="19"/>
      <c r="E48" s="25"/>
      <c r="F48" s="19"/>
    </row>
    <row r="49" spans="1:6" ht="14" x14ac:dyDescent="0.15">
      <c r="A49" s="18"/>
      <c r="B49" s="19"/>
      <c r="C49" s="19"/>
      <c r="D49" s="19"/>
      <c r="E49" s="25"/>
      <c r="F49" s="19"/>
    </row>
    <row r="50" spans="1:6" ht="14" x14ac:dyDescent="0.15">
      <c r="A50" s="18"/>
      <c r="B50" s="19"/>
      <c r="C50" s="19"/>
      <c r="D50" s="19"/>
      <c r="E50" s="25"/>
      <c r="F50" s="19"/>
    </row>
    <row r="51" spans="1:6" ht="14" x14ac:dyDescent="0.15">
      <c r="A51" s="18"/>
      <c r="B51" s="19"/>
      <c r="C51" s="19"/>
      <c r="D51" s="19"/>
      <c r="E51" s="25"/>
      <c r="F51" s="19"/>
    </row>
    <row r="52" spans="1:6" ht="14" x14ac:dyDescent="0.15">
      <c r="A52" s="18"/>
      <c r="B52" s="19"/>
      <c r="C52" s="19"/>
      <c r="D52" s="19"/>
      <c r="E52" s="25"/>
      <c r="F52" s="19"/>
    </row>
    <row r="53" spans="1:6" ht="14" x14ac:dyDescent="0.15">
      <c r="A53" s="18"/>
      <c r="B53" s="19"/>
      <c r="C53" s="19"/>
      <c r="D53" s="19"/>
      <c r="E53" s="25"/>
      <c r="F53" s="19"/>
    </row>
    <row r="54" spans="1:6" ht="14" x14ac:dyDescent="0.15">
      <c r="A54" s="18"/>
      <c r="B54" s="19"/>
      <c r="C54" s="19"/>
      <c r="D54" s="19"/>
      <c r="E54" s="25"/>
      <c r="F54" s="19"/>
    </row>
    <row r="55" spans="1:6" ht="14" x14ac:dyDescent="0.15">
      <c r="A55" s="18"/>
      <c r="B55" s="19"/>
      <c r="C55" s="19"/>
      <c r="D55" s="19"/>
      <c r="E55" s="25"/>
      <c r="F55" s="19"/>
    </row>
    <row r="56" spans="1:6" ht="14" x14ac:dyDescent="0.15">
      <c r="A56" s="18"/>
      <c r="B56" s="19"/>
      <c r="C56" s="19"/>
      <c r="D56" s="19"/>
      <c r="E56" s="25"/>
      <c r="F56" s="19"/>
    </row>
    <row r="57" spans="1:6" ht="14" x14ac:dyDescent="0.15">
      <c r="A57" s="18"/>
      <c r="B57" s="19"/>
      <c r="C57" s="19"/>
      <c r="D57" s="19"/>
      <c r="E57" s="25"/>
      <c r="F57" s="19"/>
    </row>
    <row r="58" spans="1:6" ht="14" x14ac:dyDescent="0.15">
      <c r="A58" s="18"/>
      <c r="B58" s="19"/>
      <c r="C58" s="19"/>
      <c r="D58" s="19"/>
      <c r="E58" s="25"/>
      <c r="F58" s="19"/>
    </row>
    <row r="59" spans="1:6" ht="14" x14ac:dyDescent="0.15">
      <c r="A59" s="18"/>
      <c r="B59" s="19"/>
      <c r="C59" s="19"/>
      <c r="D59" s="19"/>
      <c r="E59" s="25"/>
      <c r="F59" s="19"/>
    </row>
    <row r="60" spans="1:6" ht="14" x14ac:dyDescent="0.15">
      <c r="A60" s="18"/>
      <c r="B60" s="19"/>
      <c r="C60" s="19"/>
      <c r="D60" s="19"/>
      <c r="E60" s="25"/>
      <c r="F60" s="19"/>
    </row>
    <row r="61" spans="1:6" ht="14" x14ac:dyDescent="0.15">
      <c r="A61" s="18"/>
      <c r="B61" s="19"/>
      <c r="C61" s="19"/>
      <c r="D61" s="19"/>
      <c r="E61" s="25"/>
      <c r="F61" s="19"/>
    </row>
    <row r="62" spans="1:6" ht="14" x14ac:dyDescent="0.15">
      <c r="A62" s="18"/>
      <c r="B62" s="19"/>
      <c r="C62" s="19"/>
      <c r="D62" s="19"/>
      <c r="E62" s="25"/>
      <c r="F62" s="19"/>
    </row>
    <row r="63" spans="1:6" ht="14" x14ac:dyDescent="0.15">
      <c r="A63" s="18"/>
      <c r="B63" s="19"/>
      <c r="C63" s="19"/>
      <c r="D63" s="19"/>
      <c r="E63" s="25"/>
      <c r="F63" s="19"/>
    </row>
    <row r="64" spans="1:6" ht="14" x14ac:dyDescent="0.15">
      <c r="A64" s="18"/>
      <c r="B64" s="19"/>
      <c r="C64" s="19"/>
      <c r="D64" s="19"/>
      <c r="E64" s="25"/>
      <c r="F64" s="19"/>
    </row>
    <row r="65" spans="1:6" ht="14" x14ac:dyDescent="0.15">
      <c r="A65" s="18"/>
      <c r="B65" s="19"/>
      <c r="C65" s="19"/>
      <c r="D65" s="19"/>
      <c r="E65" s="25"/>
      <c r="F65" s="19"/>
    </row>
    <row r="66" spans="1:6" ht="14" x14ac:dyDescent="0.15">
      <c r="A66" s="18"/>
      <c r="B66" s="19"/>
      <c r="C66" s="19"/>
      <c r="D66" s="19"/>
      <c r="E66" s="25"/>
      <c r="F66" s="19"/>
    </row>
    <row r="67" spans="1:6" ht="14" x14ac:dyDescent="0.15">
      <c r="A67" s="18"/>
      <c r="B67" s="19"/>
      <c r="C67" s="19"/>
      <c r="D67" s="19"/>
      <c r="E67" s="25"/>
      <c r="F67" s="19"/>
    </row>
    <row r="68" spans="1:6" ht="14" x14ac:dyDescent="0.15">
      <c r="A68" s="18"/>
      <c r="B68" s="19"/>
      <c r="C68" s="19"/>
      <c r="D68" s="19"/>
      <c r="E68" s="25"/>
      <c r="F68" s="19"/>
    </row>
    <row r="69" spans="1:6" ht="14" x14ac:dyDescent="0.15">
      <c r="A69" s="18"/>
      <c r="B69" s="19"/>
      <c r="C69" s="19"/>
      <c r="D69" s="19"/>
      <c r="E69" s="25"/>
      <c r="F69" s="19"/>
    </row>
    <row r="70" spans="1:6" ht="14" x14ac:dyDescent="0.15">
      <c r="A70" s="18"/>
      <c r="B70" s="19"/>
      <c r="C70" s="19"/>
      <c r="D70" s="19"/>
      <c r="E70" s="25"/>
      <c r="F70" s="19"/>
    </row>
    <row r="71" spans="1:6" ht="14" x14ac:dyDescent="0.15">
      <c r="A71" s="18"/>
      <c r="B71" s="19"/>
      <c r="C71" s="19"/>
      <c r="D71" s="19"/>
      <c r="E71" s="25"/>
      <c r="F71" s="19"/>
    </row>
    <row r="72" spans="1:6" ht="14" x14ac:dyDescent="0.15">
      <c r="A72" s="18"/>
      <c r="B72" s="19"/>
      <c r="C72" s="19"/>
      <c r="D72" s="19"/>
      <c r="E72" s="25"/>
      <c r="F72" s="19"/>
    </row>
    <row r="73" spans="1:6" ht="14" x14ac:dyDescent="0.15">
      <c r="A73" s="18"/>
      <c r="B73" s="19"/>
      <c r="C73" s="19"/>
      <c r="D73" s="19"/>
      <c r="E73" s="25"/>
      <c r="F73" s="19"/>
    </row>
    <row r="74" spans="1:6" ht="14" x14ac:dyDescent="0.15">
      <c r="A74" s="18"/>
      <c r="B74" s="19"/>
      <c r="C74" s="19"/>
      <c r="D74" s="19"/>
      <c r="E74" s="25"/>
      <c r="F74" s="19"/>
    </row>
    <row r="75" spans="1:6" ht="14" x14ac:dyDescent="0.15">
      <c r="A75" s="18"/>
      <c r="B75" s="19"/>
      <c r="C75" s="19"/>
      <c r="D75" s="19"/>
      <c r="E75" s="25"/>
      <c r="F75" s="19"/>
    </row>
    <row r="76" spans="1:6" ht="14" x14ac:dyDescent="0.15">
      <c r="A76" s="18"/>
      <c r="B76" s="19"/>
      <c r="C76" s="19"/>
      <c r="D76" s="19"/>
      <c r="E76" s="25"/>
      <c r="F76" s="19"/>
    </row>
    <row r="77" spans="1:6" ht="14" x14ac:dyDescent="0.15">
      <c r="A77" s="18"/>
      <c r="B77" s="19"/>
      <c r="C77" s="19"/>
      <c r="D77" s="19"/>
      <c r="E77" s="25"/>
      <c r="F77" s="19"/>
    </row>
    <row r="78" spans="1:6" ht="14" x14ac:dyDescent="0.15">
      <c r="A78" s="18"/>
      <c r="B78" s="19"/>
      <c r="C78" s="19"/>
      <c r="D78" s="19"/>
      <c r="E78" s="25"/>
      <c r="F78" s="19"/>
    </row>
    <row r="79" spans="1:6" ht="14" x14ac:dyDescent="0.15">
      <c r="A79" s="18"/>
      <c r="B79" s="19"/>
      <c r="C79" s="19"/>
      <c r="D79" s="19"/>
      <c r="E79" s="25"/>
      <c r="F79" s="19"/>
    </row>
    <row r="80" spans="1:6" ht="14" x14ac:dyDescent="0.15">
      <c r="A80" s="18"/>
      <c r="B80" s="19"/>
      <c r="C80" s="19"/>
      <c r="D80" s="19"/>
      <c r="E80" s="25"/>
      <c r="F80" s="19"/>
    </row>
    <row r="81" spans="1:6" ht="14" x14ac:dyDescent="0.15">
      <c r="A81" s="18"/>
      <c r="B81" s="19"/>
      <c r="C81" s="19"/>
      <c r="D81" s="19"/>
      <c r="E81" s="25"/>
      <c r="F81" s="19"/>
    </row>
    <row r="82" spans="1:6" ht="14" x14ac:dyDescent="0.15">
      <c r="A82" s="18"/>
      <c r="B82" s="19"/>
      <c r="C82" s="19"/>
      <c r="D82" s="19"/>
      <c r="E82" s="25"/>
      <c r="F82" s="19"/>
    </row>
    <row r="83" spans="1:6" ht="14" x14ac:dyDescent="0.15">
      <c r="A83" s="18"/>
      <c r="B83" s="19"/>
      <c r="C83" s="19"/>
      <c r="D83" s="19"/>
      <c r="E83" s="25"/>
      <c r="F83" s="19"/>
    </row>
    <row r="84" spans="1:6" ht="14" x14ac:dyDescent="0.15">
      <c r="A84" s="18"/>
      <c r="B84" s="19"/>
      <c r="C84" s="19"/>
      <c r="D84" s="19"/>
      <c r="E84" s="25"/>
      <c r="F84" s="19"/>
    </row>
    <row r="85" spans="1:6" ht="14" x14ac:dyDescent="0.15">
      <c r="A85" s="18"/>
      <c r="B85" s="19"/>
      <c r="C85" s="19"/>
      <c r="D85" s="19"/>
      <c r="E85" s="25"/>
      <c r="F85" s="19"/>
    </row>
    <row r="86" spans="1:6" ht="14" x14ac:dyDescent="0.15">
      <c r="A86" s="18"/>
      <c r="B86" s="19"/>
      <c r="C86" s="19"/>
      <c r="D86" s="19"/>
      <c r="E86" s="25"/>
      <c r="F86" s="19"/>
    </row>
    <row r="87" spans="1:6" ht="14" x14ac:dyDescent="0.15">
      <c r="A87" s="18"/>
      <c r="B87" s="19"/>
      <c r="C87" s="19"/>
      <c r="D87" s="19"/>
      <c r="E87" s="25"/>
      <c r="F87" s="19"/>
    </row>
    <row r="88" spans="1:6" ht="14" x14ac:dyDescent="0.15">
      <c r="A88" s="18"/>
      <c r="B88" s="19"/>
      <c r="C88" s="19"/>
      <c r="D88" s="19"/>
      <c r="E88" s="25"/>
      <c r="F88" s="19"/>
    </row>
    <row r="89" spans="1:6" ht="14" x14ac:dyDescent="0.15">
      <c r="A89" s="18"/>
      <c r="B89" s="19"/>
      <c r="C89" s="19"/>
      <c r="D89" s="19"/>
      <c r="E89" s="25"/>
      <c r="F89" s="19"/>
    </row>
    <row r="90" spans="1:6" ht="14" x14ac:dyDescent="0.15">
      <c r="A90" s="18"/>
      <c r="B90" s="19"/>
      <c r="C90" s="19"/>
      <c r="D90" s="19"/>
      <c r="E90" s="25"/>
      <c r="F90" s="19"/>
    </row>
    <row r="91" spans="1:6" ht="14" x14ac:dyDescent="0.15">
      <c r="A91" s="18"/>
      <c r="B91" s="19"/>
      <c r="C91" s="19"/>
      <c r="D91" s="19"/>
      <c r="E91" s="25"/>
      <c r="F91" s="19"/>
    </row>
    <row r="92" spans="1:6" ht="14" x14ac:dyDescent="0.15">
      <c r="A92" s="18"/>
      <c r="B92" s="19"/>
      <c r="C92" s="19"/>
      <c r="D92" s="19"/>
      <c r="E92" s="25"/>
      <c r="F92" s="19"/>
    </row>
    <row r="93" spans="1:6" ht="14" x14ac:dyDescent="0.15">
      <c r="A93" s="18"/>
      <c r="B93" s="19"/>
      <c r="C93" s="19"/>
      <c r="D93" s="19"/>
      <c r="E93" s="25"/>
      <c r="F93" s="19"/>
    </row>
    <row r="94" spans="1:6" ht="14" x14ac:dyDescent="0.15">
      <c r="A94" s="18"/>
      <c r="B94" s="19"/>
      <c r="C94" s="19"/>
      <c r="D94" s="19"/>
      <c r="E94" s="25"/>
      <c r="F94" s="19"/>
    </row>
    <row r="95" spans="1:6" ht="14" x14ac:dyDescent="0.15">
      <c r="A95" s="18"/>
      <c r="B95" s="19"/>
      <c r="C95" s="19"/>
      <c r="D95" s="19"/>
      <c r="E95" s="25"/>
      <c r="F95" s="19"/>
    </row>
    <row r="96" spans="1:6" ht="14" x14ac:dyDescent="0.15">
      <c r="A96" s="18"/>
      <c r="B96" s="19"/>
      <c r="C96" s="19"/>
      <c r="D96" s="19"/>
      <c r="E96" s="25"/>
      <c r="F96" s="19"/>
    </row>
    <row r="97" spans="1:6" ht="14" x14ac:dyDescent="0.15">
      <c r="A97" s="18"/>
      <c r="B97" s="19"/>
      <c r="C97" s="19"/>
      <c r="D97" s="19"/>
      <c r="E97" s="25"/>
      <c r="F97" s="19"/>
    </row>
    <row r="98" spans="1:6" ht="14" x14ac:dyDescent="0.15">
      <c r="A98" s="18"/>
      <c r="B98" s="19"/>
      <c r="C98" s="19"/>
      <c r="D98" s="19"/>
      <c r="E98" s="25"/>
      <c r="F98" s="19"/>
    </row>
    <row r="99" spans="1:6" ht="14" x14ac:dyDescent="0.15">
      <c r="A99" s="18"/>
      <c r="B99" s="19"/>
      <c r="C99" s="19"/>
      <c r="D99" s="19"/>
      <c r="E99" s="25"/>
      <c r="F99" s="19"/>
    </row>
    <row r="100" spans="1:6" ht="14" x14ac:dyDescent="0.15">
      <c r="A100" s="18"/>
      <c r="B100" s="19"/>
      <c r="C100" s="19"/>
      <c r="D100" s="19"/>
      <c r="E100" s="25"/>
      <c r="F100" s="19"/>
    </row>
    <row r="101" spans="1:6" ht="14" x14ac:dyDescent="0.15">
      <c r="A101" s="18"/>
      <c r="B101" s="19"/>
      <c r="C101" s="19"/>
      <c r="D101" s="19"/>
      <c r="E101" s="25"/>
      <c r="F101" s="19"/>
    </row>
    <row r="102" spans="1:6" ht="14" x14ac:dyDescent="0.15">
      <c r="A102" s="18"/>
      <c r="B102" s="19"/>
      <c r="C102" s="19"/>
      <c r="D102" s="19"/>
      <c r="E102" s="25"/>
      <c r="F102" s="19"/>
    </row>
    <row r="103" spans="1:6" ht="14" x14ac:dyDescent="0.15">
      <c r="A103" s="18"/>
      <c r="B103" s="19"/>
      <c r="C103" s="19"/>
      <c r="D103" s="19"/>
      <c r="E103" s="25"/>
      <c r="F103" s="19"/>
    </row>
    <row r="104" spans="1:6" ht="14" x14ac:dyDescent="0.15">
      <c r="A104" s="18"/>
      <c r="B104" s="19"/>
      <c r="C104" s="19"/>
      <c r="D104" s="19"/>
      <c r="E104" s="25"/>
      <c r="F104" s="19"/>
    </row>
    <row r="105" spans="1:6" ht="14" x14ac:dyDescent="0.15">
      <c r="A105" s="18"/>
      <c r="B105" s="19"/>
      <c r="C105" s="19"/>
      <c r="D105" s="19"/>
      <c r="E105" s="25"/>
      <c r="F105" s="19"/>
    </row>
    <row r="106" spans="1:6" ht="14" x14ac:dyDescent="0.15">
      <c r="A106" s="18"/>
      <c r="B106" s="19"/>
      <c r="C106" s="19"/>
      <c r="D106" s="19"/>
      <c r="E106" s="25"/>
      <c r="F106" s="19"/>
    </row>
    <row r="107" spans="1:6" ht="14" x14ac:dyDescent="0.15">
      <c r="A107" s="18"/>
      <c r="B107" s="19"/>
      <c r="C107" s="19"/>
      <c r="D107" s="19"/>
      <c r="E107" s="25"/>
      <c r="F107" s="19"/>
    </row>
    <row r="108" spans="1:6" ht="14" x14ac:dyDescent="0.15">
      <c r="A108" s="18"/>
      <c r="B108" s="19"/>
      <c r="C108" s="19"/>
      <c r="D108" s="19"/>
      <c r="E108" s="25"/>
      <c r="F108" s="19"/>
    </row>
    <row r="109" spans="1:6" ht="14" x14ac:dyDescent="0.15">
      <c r="A109" s="18"/>
      <c r="B109" s="19"/>
      <c r="C109" s="19"/>
      <c r="D109" s="19"/>
      <c r="E109" s="25"/>
      <c r="F109" s="19"/>
    </row>
    <row r="110" spans="1:6" ht="14" x14ac:dyDescent="0.15">
      <c r="A110" s="18"/>
      <c r="B110" s="19"/>
      <c r="C110" s="19"/>
      <c r="D110" s="19"/>
      <c r="E110" s="25"/>
      <c r="F110" s="19"/>
    </row>
    <row r="111" spans="1:6" ht="14" x14ac:dyDescent="0.15">
      <c r="A111" s="18"/>
      <c r="B111" s="19"/>
      <c r="C111" s="19"/>
      <c r="D111" s="19"/>
      <c r="E111" s="25"/>
      <c r="F111" s="19"/>
    </row>
    <row r="112" spans="1:6" ht="14" x14ac:dyDescent="0.15">
      <c r="A112" s="18"/>
      <c r="B112" s="19"/>
      <c r="C112" s="19"/>
      <c r="D112" s="19"/>
      <c r="E112" s="25"/>
      <c r="F112" s="19"/>
    </row>
    <row r="113" spans="1:6" ht="14" x14ac:dyDescent="0.15">
      <c r="A113" s="18"/>
      <c r="B113" s="19"/>
      <c r="C113" s="19"/>
      <c r="D113" s="19"/>
      <c r="E113" s="25"/>
      <c r="F113" s="19"/>
    </row>
    <row r="114" spans="1:6" ht="14" x14ac:dyDescent="0.15">
      <c r="A114" s="18"/>
      <c r="B114" s="19"/>
      <c r="C114" s="19"/>
      <c r="D114" s="19"/>
      <c r="E114" s="25"/>
      <c r="F114" s="19"/>
    </row>
    <row r="115" spans="1:6" ht="14" x14ac:dyDescent="0.15">
      <c r="A115" s="18"/>
      <c r="B115" s="19"/>
      <c r="C115" s="19"/>
      <c r="D115" s="19"/>
      <c r="E115" s="25"/>
      <c r="F115" s="19"/>
    </row>
    <row r="116" spans="1:6" ht="14" x14ac:dyDescent="0.15">
      <c r="A116" s="18"/>
      <c r="B116" s="19"/>
      <c r="C116" s="19"/>
      <c r="D116" s="19"/>
      <c r="E116" s="25"/>
      <c r="F116" s="19"/>
    </row>
    <row r="117" spans="1:6" ht="14" x14ac:dyDescent="0.15">
      <c r="A117" s="18"/>
      <c r="B117" s="19"/>
      <c r="C117" s="19"/>
      <c r="D117" s="19"/>
      <c r="E117" s="25"/>
      <c r="F117" s="19"/>
    </row>
    <row r="118" spans="1:6" ht="14" x14ac:dyDescent="0.15">
      <c r="A118" s="18"/>
      <c r="B118" s="19"/>
      <c r="C118" s="19"/>
      <c r="D118" s="19"/>
      <c r="E118" s="25"/>
      <c r="F118" s="19"/>
    </row>
    <row r="119" spans="1:6" ht="14" x14ac:dyDescent="0.15">
      <c r="A119" s="18"/>
      <c r="B119" s="19"/>
      <c r="C119" s="19"/>
      <c r="D119" s="19"/>
      <c r="E119" s="25"/>
      <c r="F119" s="19"/>
    </row>
    <row r="120" spans="1:6" ht="14" x14ac:dyDescent="0.15">
      <c r="A120" s="18"/>
      <c r="B120" s="19"/>
      <c r="C120" s="19"/>
      <c r="D120" s="19"/>
      <c r="E120" s="25"/>
      <c r="F120" s="19"/>
    </row>
    <row r="121" spans="1:6" ht="14" x14ac:dyDescent="0.15">
      <c r="A121" s="18"/>
      <c r="B121" s="19"/>
      <c r="C121" s="19"/>
      <c r="D121" s="19"/>
      <c r="E121" s="25"/>
      <c r="F121" s="19"/>
    </row>
    <row r="122" spans="1:6" ht="14" x14ac:dyDescent="0.15">
      <c r="A122" s="18"/>
      <c r="B122" s="19"/>
      <c r="C122" s="19"/>
      <c r="D122" s="19"/>
      <c r="E122" s="25"/>
      <c r="F122" s="19"/>
    </row>
    <row r="123" spans="1:6" ht="14" x14ac:dyDescent="0.15">
      <c r="A123" s="18"/>
      <c r="B123" s="19"/>
      <c r="C123" s="19"/>
      <c r="D123" s="19"/>
      <c r="E123" s="25"/>
      <c r="F123" s="19"/>
    </row>
    <row r="124" spans="1:6" ht="14" x14ac:dyDescent="0.15">
      <c r="A124" s="18"/>
      <c r="B124" s="19"/>
      <c r="C124" s="19"/>
      <c r="D124" s="19"/>
      <c r="E124" s="25"/>
      <c r="F124" s="19"/>
    </row>
    <row r="125" spans="1:6" ht="14" x14ac:dyDescent="0.15">
      <c r="A125" s="18"/>
      <c r="B125" s="19"/>
      <c r="C125" s="19"/>
      <c r="D125" s="19"/>
      <c r="E125" s="25"/>
      <c r="F125" s="19"/>
    </row>
    <row r="126" spans="1:6" ht="14" x14ac:dyDescent="0.15">
      <c r="A126" s="18"/>
      <c r="B126" s="19"/>
      <c r="C126" s="19"/>
      <c r="D126" s="19"/>
      <c r="E126" s="25"/>
      <c r="F126" s="19"/>
    </row>
    <row r="127" spans="1:6" ht="14" x14ac:dyDescent="0.15">
      <c r="A127" s="18"/>
      <c r="B127" s="19"/>
      <c r="C127" s="19"/>
      <c r="D127" s="19"/>
      <c r="E127" s="25"/>
      <c r="F127" s="19"/>
    </row>
    <row r="128" spans="1:6" ht="14" x14ac:dyDescent="0.15">
      <c r="A128" s="18"/>
      <c r="B128" s="19"/>
      <c r="C128" s="19"/>
      <c r="D128" s="19"/>
      <c r="E128" s="25"/>
      <c r="F128" s="19"/>
    </row>
    <row r="129" spans="1:6" ht="14" x14ac:dyDescent="0.15">
      <c r="A129" s="18"/>
      <c r="B129" s="19"/>
      <c r="C129" s="19"/>
      <c r="D129" s="19"/>
      <c r="E129" s="25"/>
      <c r="F129" s="19"/>
    </row>
    <row r="130" spans="1:6" ht="14" x14ac:dyDescent="0.15">
      <c r="A130" s="18"/>
      <c r="B130" s="19"/>
      <c r="C130" s="19"/>
      <c r="D130" s="19"/>
      <c r="E130" s="25"/>
      <c r="F130" s="19"/>
    </row>
    <row r="131" spans="1:6" ht="14" x14ac:dyDescent="0.15">
      <c r="A131" s="18"/>
      <c r="B131" s="19"/>
      <c r="C131" s="19"/>
      <c r="D131" s="19"/>
      <c r="E131" s="25"/>
      <c r="F131" s="19"/>
    </row>
    <row r="132" spans="1:6" ht="14" x14ac:dyDescent="0.15">
      <c r="A132" s="18"/>
      <c r="B132" s="19"/>
      <c r="C132" s="19"/>
      <c r="D132" s="19"/>
      <c r="E132" s="25"/>
      <c r="F132" s="19"/>
    </row>
    <row r="133" spans="1:6" ht="14" x14ac:dyDescent="0.15">
      <c r="A133" s="18"/>
      <c r="B133" s="19"/>
      <c r="C133" s="19"/>
      <c r="D133" s="19"/>
      <c r="E133" s="25"/>
      <c r="F133" s="19"/>
    </row>
    <row r="134" spans="1:6" ht="14" x14ac:dyDescent="0.15">
      <c r="A134" s="18"/>
      <c r="B134" s="19"/>
      <c r="C134" s="19"/>
      <c r="D134" s="19"/>
      <c r="E134" s="25"/>
      <c r="F134" s="19"/>
    </row>
    <row r="135" spans="1:6" ht="14" x14ac:dyDescent="0.15">
      <c r="A135" s="18"/>
      <c r="B135" s="19"/>
      <c r="C135" s="19"/>
      <c r="D135" s="19"/>
      <c r="E135" s="25"/>
      <c r="F135" s="19"/>
    </row>
    <row r="136" spans="1:6" ht="14" x14ac:dyDescent="0.15">
      <c r="A136" s="18"/>
      <c r="B136" s="19"/>
      <c r="C136" s="19"/>
      <c r="D136" s="19"/>
      <c r="E136" s="25"/>
      <c r="F136" s="19"/>
    </row>
    <row r="137" spans="1:6" ht="14" x14ac:dyDescent="0.15">
      <c r="A137" s="18"/>
      <c r="B137" s="19"/>
      <c r="C137" s="19"/>
      <c r="D137" s="19"/>
      <c r="E137" s="25"/>
      <c r="F137" s="19"/>
    </row>
    <row r="138" spans="1:6" ht="14" x14ac:dyDescent="0.15">
      <c r="A138" s="18"/>
      <c r="B138" s="19"/>
      <c r="C138" s="19"/>
      <c r="D138" s="19"/>
      <c r="E138" s="25"/>
      <c r="F138" s="19"/>
    </row>
    <row r="139" spans="1:6" ht="14" x14ac:dyDescent="0.15">
      <c r="A139" s="18"/>
      <c r="B139" s="19"/>
      <c r="C139" s="19"/>
      <c r="D139" s="19"/>
      <c r="E139" s="25"/>
      <c r="F139" s="19"/>
    </row>
    <row r="140" spans="1:6" ht="14" x14ac:dyDescent="0.15">
      <c r="A140" s="18"/>
      <c r="B140" s="19"/>
      <c r="C140" s="19"/>
      <c r="D140" s="19"/>
      <c r="E140" s="25"/>
      <c r="F140" s="19"/>
    </row>
    <row r="141" spans="1:6" ht="14" x14ac:dyDescent="0.15">
      <c r="A141" s="18"/>
      <c r="B141" s="19"/>
      <c r="C141" s="19"/>
      <c r="D141" s="19"/>
      <c r="E141" s="25"/>
      <c r="F141" s="19"/>
    </row>
    <row r="142" spans="1:6" ht="14" x14ac:dyDescent="0.15">
      <c r="A142" s="18"/>
      <c r="B142" s="19"/>
      <c r="C142" s="19"/>
      <c r="D142" s="19"/>
      <c r="E142" s="25"/>
      <c r="F142" s="19"/>
    </row>
    <row r="143" spans="1:6" ht="14" x14ac:dyDescent="0.15">
      <c r="A143" s="18"/>
      <c r="B143" s="19"/>
      <c r="C143" s="19"/>
      <c r="D143" s="19"/>
      <c r="E143" s="25"/>
      <c r="F143" s="19"/>
    </row>
    <row r="144" spans="1:6" ht="14" x14ac:dyDescent="0.15">
      <c r="A144" s="18"/>
      <c r="B144" s="19"/>
      <c r="C144" s="19"/>
      <c r="D144" s="19"/>
      <c r="E144" s="25"/>
      <c r="F144" s="19"/>
    </row>
    <row r="145" spans="1:6" ht="14" x14ac:dyDescent="0.15">
      <c r="A145" s="18"/>
      <c r="B145" s="19"/>
      <c r="C145" s="19"/>
      <c r="D145" s="19"/>
      <c r="E145" s="25"/>
      <c r="F145" s="19"/>
    </row>
    <row r="146" spans="1:6" ht="14" x14ac:dyDescent="0.15">
      <c r="A146" s="18"/>
      <c r="B146" s="19"/>
      <c r="C146" s="19"/>
      <c r="D146" s="19"/>
      <c r="E146" s="25"/>
      <c r="F146" s="19"/>
    </row>
    <row r="147" spans="1:6" ht="14" x14ac:dyDescent="0.15">
      <c r="A147" s="18"/>
      <c r="B147" s="19"/>
      <c r="C147" s="19"/>
      <c r="D147" s="19"/>
      <c r="E147" s="25"/>
      <c r="F147" s="19"/>
    </row>
    <row r="148" spans="1:6" ht="14" x14ac:dyDescent="0.15">
      <c r="A148" s="18"/>
      <c r="B148" s="19"/>
      <c r="C148" s="19"/>
      <c r="D148" s="19"/>
      <c r="E148" s="25"/>
      <c r="F148" s="19"/>
    </row>
    <row r="149" spans="1:6" ht="14" x14ac:dyDescent="0.15">
      <c r="A149" s="18"/>
      <c r="B149" s="19"/>
      <c r="C149" s="19"/>
      <c r="D149" s="19"/>
      <c r="E149" s="25"/>
      <c r="F149" s="19"/>
    </row>
    <row r="150" spans="1:6" ht="14" x14ac:dyDescent="0.15">
      <c r="A150" s="18"/>
      <c r="B150" s="19"/>
      <c r="C150" s="19"/>
      <c r="D150" s="19"/>
      <c r="E150" s="25"/>
      <c r="F150" s="19"/>
    </row>
    <row r="151" spans="1:6" ht="14" x14ac:dyDescent="0.15">
      <c r="A151" s="18"/>
      <c r="B151" s="19"/>
      <c r="C151" s="19"/>
      <c r="D151" s="19"/>
      <c r="E151" s="25"/>
      <c r="F151" s="19"/>
    </row>
    <row r="152" spans="1:6" ht="14" x14ac:dyDescent="0.15">
      <c r="A152" s="18"/>
      <c r="B152" s="19"/>
      <c r="C152" s="19"/>
      <c r="D152" s="19"/>
      <c r="E152" s="25"/>
      <c r="F152" s="19"/>
    </row>
    <row r="153" spans="1:6" ht="14" x14ac:dyDescent="0.15">
      <c r="A153" s="18"/>
      <c r="B153" s="19"/>
      <c r="C153" s="19"/>
      <c r="D153" s="19"/>
      <c r="E153" s="25"/>
      <c r="F153" s="19"/>
    </row>
    <row r="154" spans="1:6" ht="14" x14ac:dyDescent="0.15">
      <c r="A154" s="18"/>
      <c r="B154" s="19"/>
      <c r="C154" s="19"/>
      <c r="D154" s="19"/>
      <c r="E154" s="25"/>
      <c r="F154" s="19"/>
    </row>
    <row r="155" spans="1:6" ht="14" x14ac:dyDescent="0.15">
      <c r="A155" s="18"/>
      <c r="B155" s="19"/>
      <c r="C155" s="19"/>
      <c r="D155" s="19"/>
      <c r="E155" s="25"/>
      <c r="F155" s="19"/>
    </row>
    <row r="156" spans="1:6" ht="14" x14ac:dyDescent="0.15">
      <c r="A156" s="18"/>
      <c r="B156" s="19"/>
      <c r="C156" s="19"/>
      <c r="D156" s="19"/>
      <c r="E156" s="25"/>
      <c r="F156" s="19"/>
    </row>
    <row r="157" spans="1:6" ht="14" x14ac:dyDescent="0.15">
      <c r="A157" s="18"/>
      <c r="B157" s="19"/>
      <c r="C157" s="19"/>
      <c r="D157" s="19"/>
      <c r="E157" s="25"/>
      <c r="F157" s="19"/>
    </row>
    <row r="158" spans="1:6" ht="14" x14ac:dyDescent="0.15">
      <c r="A158" s="18"/>
      <c r="B158" s="19"/>
      <c r="C158" s="19"/>
      <c r="D158" s="19"/>
      <c r="E158" s="25"/>
      <c r="F158" s="19"/>
    </row>
    <row r="159" spans="1:6" ht="14" x14ac:dyDescent="0.15">
      <c r="A159" s="18"/>
      <c r="B159" s="19"/>
      <c r="C159" s="19"/>
      <c r="D159" s="19"/>
      <c r="E159" s="25"/>
      <c r="F159" s="19"/>
    </row>
    <row r="160" spans="1:6" ht="14" x14ac:dyDescent="0.15">
      <c r="A160" s="18"/>
      <c r="B160" s="19"/>
      <c r="C160" s="19"/>
      <c r="D160" s="19"/>
      <c r="E160" s="25"/>
      <c r="F160" s="19"/>
    </row>
    <row r="161" spans="1:6" ht="14" x14ac:dyDescent="0.15">
      <c r="A161" s="18"/>
      <c r="B161" s="19"/>
      <c r="C161" s="19"/>
      <c r="D161" s="19"/>
      <c r="E161" s="25"/>
      <c r="F161" s="19"/>
    </row>
    <row r="162" spans="1:6" ht="14" x14ac:dyDescent="0.15">
      <c r="A162" s="18"/>
      <c r="B162" s="19"/>
      <c r="C162" s="19"/>
      <c r="D162" s="19"/>
      <c r="E162" s="25"/>
      <c r="F162" s="19"/>
    </row>
    <row r="163" spans="1:6" ht="14" x14ac:dyDescent="0.15">
      <c r="A163" s="18"/>
      <c r="B163" s="19"/>
      <c r="C163" s="19"/>
      <c r="D163" s="19"/>
      <c r="E163" s="25"/>
      <c r="F163" s="19"/>
    </row>
    <row r="164" spans="1:6" ht="14" x14ac:dyDescent="0.15">
      <c r="A164" s="18"/>
      <c r="B164" s="19"/>
      <c r="C164" s="19"/>
      <c r="D164" s="19"/>
      <c r="E164" s="25"/>
      <c r="F164" s="19"/>
    </row>
    <row r="165" spans="1:6" ht="14" x14ac:dyDescent="0.15">
      <c r="A165" s="18"/>
      <c r="B165" s="19"/>
      <c r="C165" s="19"/>
      <c r="D165" s="19"/>
      <c r="E165" s="25"/>
      <c r="F165" s="19"/>
    </row>
    <row r="166" spans="1:6" ht="14" x14ac:dyDescent="0.15">
      <c r="A166" s="18"/>
      <c r="B166" s="19"/>
      <c r="C166" s="19"/>
      <c r="D166" s="19"/>
      <c r="E166" s="25"/>
      <c r="F166" s="19"/>
    </row>
    <row r="167" spans="1:6" ht="14" x14ac:dyDescent="0.15">
      <c r="A167" s="18"/>
      <c r="B167" s="19"/>
      <c r="C167" s="19"/>
      <c r="D167" s="19"/>
      <c r="E167" s="25"/>
      <c r="F167" s="19"/>
    </row>
    <row r="168" spans="1:6" ht="14" x14ac:dyDescent="0.15">
      <c r="A168" s="18"/>
      <c r="B168" s="19"/>
      <c r="C168" s="19"/>
      <c r="D168" s="19"/>
      <c r="E168" s="25"/>
      <c r="F168" s="19"/>
    </row>
    <row r="169" spans="1:6" ht="14" x14ac:dyDescent="0.15">
      <c r="A169" s="18"/>
      <c r="B169" s="19"/>
      <c r="C169" s="19"/>
      <c r="D169" s="19"/>
      <c r="E169" s="25"/>
      <c r="F169" s="19"/>
    </row>
    <row r="170" spans="1:6" ht="14" x14ac:dyDescent="0.15">
      <c r="A170" s="18"/>
      <c r="B170" s="19"/>
      <c r="C170" s="19"/>
      <c r="D170" s="19"/>
      <c r="E170" s="25"/>
      <c r="F170" s="19"/>
    </row>
    <row r="171" spans="1:6" ht="14" x14ac:dyDescent="0.15">
      <c r="A171" s="18"/>
      <c r="B171" s="19"/>
      <c r="C171" s="19"/>
      <c r="D171" s="19"/>
      <c r="E171" s="25"/>
      <c r="F171" s="19"/>
    </row>
    <row r="172" spans="1:6" ht="14" x14ac:dyDescent="0.15">
      <c r="A172" s="18"/>
      <c r="B172" s="19"/>
      <c r="C172" s="19"/>
      <c r="D172" s="19"/>
      <c r="E172" s="25"/>
      <c r="F172" s="19"/>
    </row>
    <row r="173" spans="1:6" ht="14" x14ac:dyDescent="0.15">
      <c r="A173" s="18"/>
      <c r="B173" s="19"/>
      <c r="C173" s="19"/>
      <c r="D173" s="19"/>
      <c r="E173" s="25"/>
      <c r="F173" s="19"/>
    </row>
    <row r="174" spans="1:6" ht="14" x14ac:dyDescent="0.15">
      <c r="A174" s="18"/>
      <c r="B174" s="19"/>
      <c r="C174" s="19"/>
      <c r="D174" s="19"/>
      <c r="E174" s="25"/>
      <c r="F174" s="19"/>
    </row>
    <row r="175" spans="1:6" ht="14" x14ac:dyDescent="0.15">
      <c r="A175" s="18"/>
      <c r="B175" s="19"/>
      <c r="C175" s="19"/>
      <c r="D175" s="19"/>
      <c r="E175" s="25"/>
      <c r="F175" s="19"/>
    </row>
    <row r="176" spans="1:6" ht="14" x14ac:dyDescent="0.15">
      <c r="A176" s="18"/>
      <c r="B176" s="19"/>
      <c r="C176" s="19"/>
      <c r="D176" s="19"/>
      <c r="E176" s="25"/>
      <c r="F176" s="19"/>
    </row>
    <row r="177" spans="1:6" ht="14" x14ac:dyDescent="0.15">
      <c r="A177" s="18"/>
      <c r="B177" s="19"/>
      <c r="C177" s="19"/>
      <c r="D177" s="19"/>
      <c r="E177" s="25"/>
      <c r="F177" s="19"/>
    </row>
    <row r="178" spans="1:6" ht="14" x14ac:dyDescent="0.15">
      <c r="A178" s="18"/>
      <c r="B178" s="19"/>
      <c r="C178" s="19"/>
      <c r="D178" s="19"/>
      <c r="E178" s="25"/>
      <c r="F178" s="19"/>
    </row>
    <row r="179" spans="1:6" ht="14" x14ac:dyDescent="0.15">
      <c r="A179" s="18"/>
      <c r="B179" s="19"/>
      <c r="C179" s="19"/>
      <c r="D179" s="19"/>
      <c r="E179" s="25"/>
      <c r="F179" s="19"/>
    </row>
    <row r="180" spans="1:6" ht="14" x14ac:dyDescent="0.15">
      <c r="A180" s="18"/>
      <c r="B180" s="19"/>
      <c r="C180" s="19"/>
      <c r="D180" s="19"/>
      <c r="E180" s="25"/>
      <c r="F180" s="19"/>
    </row>
    <row r="181" spans="1:6" ht="14" x14ac:dyDescent="0.15">
      <c r="A181" s="18"/>
      <c r="B181" s="19"/>
      <c r="C181" s="19"/>
      <c r="D181" s="19"/>
      <c r="E181" s="25"/>
      <c r="F181" s="19"/>
    </row>
    <row r="182" spans="1:6" ht="14" x14ac:dyDescent="0.15">
      <c r="A182" s="18"/>
      <c r="B182" s="19"/>
      <c r="C182" s="19"/>
      <c r="D182" s="19"/>
      <c r="E182" s="25"/>
      <c r="F182" s="19"/>
    </row>
    <row r="183" spans="1:6" ht="14" x14ac:dyDescent="0.15">
      <c r="A183" s="18"/>
      <c r="B183" s="19"/>
      <c r="C183" s="19"/>
      <c r="D183" s="19"/>
      <c r="E183" s="25"/>
      <c r="F183" s="19"/>
    </row>
    <row r="184" spans="1:6" ht="14" x14ac:dyDescent="0.15">
      <c r="A184" s="18"/>
      <c r="B184" s="19"/>
      <c r="C184" s="19"/>
      <c r="D184" s="19"/>
      <c r="E184" s="25"/>
      <c r="F184" s="19"/>
    </row>
    <row r="185" spans="1:6" ht="14" x14ac:dyDescent="0.15">
      <c r="A185" s="18"/>
      <c r="B185" s="19"/>
      <c r="C185" s="19"/>
      <c r="D185" s="19"/>
      <c r="E185" s="25"/>
      <c r="F185" s="19"/>
    </row>
    <row r="186" spans="1:6" ht="14" x14ac:dyDescent="0.15">
      <c r="A186" s="18"/>
      <c r="B186" s="19"/>
      <c r="C186" s="19"/>
      <c r="D186" s="19"/>
      <c r="E186" s="25"/>
      <c r="F186" s="19"/>
    </row>
    <row r="187" spans="1:6" ht="14" x14ac:dyDescent="0.15">
      <c r="A187" s="18"/>
      <c r="B187" s="19"/>
      <c r="C187" s="19"/>
      <c r="D187" s="19"/>
      <c r="E187" s="25"/>
      <c r="F187" s="19"/>
    </row>
    <row r="188" spans="1:6" ht="14" x14ac:dyDescent="0.15">
      <c r="A188" s="18"/>
      <c r="B188" s="19"/>
      <c r="C188" s="19"/>
      <c r="D188" s="19"/>
      <c r="E188" s="25"/>
      <c r="F188" s="19"/>
    </row>
    <row r="189" spans="1:6" ht="14" x14ac:dyDescent="0.15">
      <c r="A189" s="18"/>
      <c r="B189" s="19"/>
      <c r="C189" s="19"/>
      <c r="D189" s="19"/>
      <c r="E189" s="25"/>
      <c r="F189" s="19"/>
    </row>
    <row r="190" spans="1:6" ht="14" x14ac:dyDescent="0.15">
      <c r="A190" s="18"/>
      <c r="B190" s="19"/>
      <c r="C190" s="19"/>
      <c r="D190" s="19"/>
      <c r="E190" s="25"/>
      <c r="F190" s="19"/>
    </row>
    <row r="191" spans="1:6" ht="14" x14ac:dyDescent="0.15">
      <c r="A191" s="18"/>
      <c r="B191" s="19"/>
      <c r="C191" s="19"/>
      <c r="D191" s="19"/>
      <c r="E191" s="25"/>
      <c r="F191" s="19"/>
    </row>
    <row r="192" spans="1:6" ht="14" x14ac:dyDescent="0.15">
      <c r="A192" s="18"/>
      <c r="B192" s="19"/>
      <c r="C192" s="19"/>
      <c r="D192" s="19"/>
      <c r="E192" s="25"/>
      <c r="F192" s="19"/>
    </row>
    <row r="193" spans="1:6" ht="14" x14ac:dyDescent="0.15">
      <c r="A193" s="18"/>
      <c r="B193" s="19"/>
      <c r="C193" s="19"/>
      <c r="D193" s="19"/>
      <c r="E193" s="25"/>
      <c r="F193" s="19"/>
    </row>
    <row r="194" spans="1:6" ht="14" x14ac:dyDescent="0.15">
      <c r="A194" s="18"/>
      <c r="B194" s="19"/>
      <c r="C194" s="19"/>
      <c r="D194" s="19"/>
      <c r="E194" s="25"/>
      <c r="F194" s="19"/>
    </row>
    <row r="195" spans="1:6" ht="14" x14ac:dyDescent="0.15">
      <c r="A195" s="18"/>
      <c r="B195" s="19"/>
      <c r="C195" s="19"/>
      <c r="D195" s="19"/>
      <c r="E195" s="25"/>
      <c r="F195" s="19"/>
    </row>
    <row r="196" spans="1:6" ht="14" x14ac:dyDescent="0.15">
      <c r="A196" s="18"/>
      <c r="B196" s="19"/>
      <c r="C196" s="19"/>
      <c r="D196" s="19"/>
      <c r="E196" s="25"/>
      <c r="F196" s="19"/>
    </row>
    <row r="197" spans="1:6" ht="14" x14ac:dyDescent="0.15">
      <c r="A197" s="18"/>
      <c r="B197" s="19"/>
      <c r="C197" s="19"/>
      <c r="D197" s="19"/>
      <c r="E197" s="25"/>
      <c r="F197" s="19"/>
    </row>
    <row r="198" spans="1:6" ht="14" x14ac:dyDescent="0.15">
      <c r="A198" s="18"/>
      <c r="B198" s="19"/>
      <c r="C198" s="19"/>
      <c r="D198" s="19"/>
      <c r="E198" s="25"/>
      <c r="F198" s="19"/>
    </row>
    <row r="199" spans="1:6" ht="14" x14ac:dyDescent="0.15">
      <c r="A199" s="18"/>
      <c r="B199" s="19"/>
      <c r="C199" s="19"/>
      <c r="D199" s="19"/>
      <c r="E199" s="25"/>
      <c r="F199" s="19"/>
    </row>
    <row r="200" spans="1:6" ht="14" x14ac:dyDescent="0.15">
      <c r="A200" s="18"/>
      <c r="B200" s="19"/>
      <c r="C200" s="19"/>
      <c r="D200" s="19"/>
      <c r="E200" s="25"/>
      <c r="F200" s="19"/>
    </row>
    <row r="201" spans="1:6" ht="14" x14ac:dyDescent="0.15">
      <c r="A201" s="18"/>
      <c r="B201" s="19"/>
      <c r="C201" s="19"/>
      <c r="D201" s="19"/>
      <c r="E201" s="25"/>
      <c r="F201" s="19"/>
    </row>
    <row r="202" spans="1:6" ht="14" x14ac:dyDescent="0.15">
      <c r="A202" s="18"/>
      <c r="B202" s="19"/>
      <c r="C202" s="19"/>
      <c r="D202" s="19"/>
      <c r="E202" s="25"/>
      <c r="F202" s="19"/>
    </row>
    <row r="203" spans="1:6" ht="14" x14ac:dyDescent="0.15">
      <c r="A203" s="18"/>
      <c r="B203" s="19"/>
      <c r="C203" s="19"/>
      <c r="D203" s="19"/>
      <c r="E203" s="25"/>
      <c r="F203" s="19"/>
    </row>
    <row r="204" spans="1:6" ht="14" x14ac:dyDescent="0.15">
      <c r="A204" s="18"/>
      <c r="B204" s="19"/>
      <c r="C204" s="19"/>
      <c r="D204" s="19"/>
      <c r="E204" s="25"/>
      <c r="F204" s="19"/>
    </row>
    <row r="205" spans="1:6" ht="14" x14ac:dyDescent="0.15">
      <c r="A205" s="18"/>
      <c r="B205" s="19"/>
      <c r="C205" s="19"/>
      <c r="D205" s="19"/>
      <c r="E205" s="25"/>
      <c r="F205" s="19"/>
    </row>
    <row r="206" spans="1:6" ht="14" x14ac:dyDescent="0.15">
      <c r="A206" s="18"/>
      <c r="B206" s="19"/>
      <c r="C206" s="19"/>
      <c r="D206" s="19"/>
      <c r="E206" s="25"/>
      <c r="F206" s="19"/>
    </row>
    <row r="207" spans="1:6" ht="14" x14ac:dyDescent="0.15">
      <c r="A207" s="18"/>
      <c r="B207" s="19"/>
      <c r="C207" s="19"/>
      <c r="D207" s="19"/>
      <c r="E207" s="25"/>
      <c r="F207" s="19"/>
    </row>
    <row r="208" spans="1:6" ht="14" x14ac:dyDescent="0.15">
      <c r="A208" s="18"/>
      <c r="B208" s="19"/>
      <c r="C208" s="19"/>
      <c r="D208" s="19"/>
      <c r="E208" s="25"/>
      <c r="F208" s="19"/>
    </row>
    <row r="209" spans="1:6" ht="14" x14ac:dyDescent="0.15">
      <c r="A209" s="18"/>
      <c r="B209" s="19"/>
      <c r="C209" s="19"/>
      <c r="D209" s="19"/>
      <c r="E209" s="25"/>
      <c r="F209" s="19"/>
    </row>
    <row r="210" spans="1:6" ht="14" x14ac:dyDescent="0.15">
      <c r="A210" s="18"/>
      <c r="B210" s="19"/>
      <c r="C210" s="19"/>
      <c r="D210" s="19"/>
      <c r="E210" s="25"/>
      <c r="F210" s="19"/>
    </row>
    <row r="211" spans="1:6" ht="14" x14ac:dyDescent="0.15">
      <c r="A211" s="18"/>
      <c r="B211" s="19"/>
      <c r="C211" s="19"/>
      <c r="D211" s="19"/>
      <c r="E211" s="25"/>
      <c r="F211" s="19"/>
    </row>
    <row r="212" spans="1:6" ht="14" x14ac:dyDescent="0.15">
      <c r="A212" s="18"/>
      <c r="B212" s="19"/>
      <c r="C212" s="19"/>
      <c r="D212" s="19"/>
      <c r="E212" s="25"/>
      <c r="F212" s="19"/>
    </row>
    <row r="213" spans="1:6" ht="14" x14ac:dyDescent="0.15">
      <c r="A213" s="18"/>
      <c r="B213" s="19"/>
      <c r="C213" s="19"/>
      <c r="D213" s="19"/>
      <c r="E213" s="25"/>
      <c r="F213" s="19"/>
    </row>
    <row r="214" spans="1:6" ht="14" x14ac:dyDescent="0.15">
      <c r="A214" s="18"/>
      <c r="B214" s="19"/>
      <c r="C214" s="19"/>
      <c r="D214" s="19"/>
      <c r="E214" s="25"/>
      <c r="F214" s="19"/>
    </row>
    <row r="215" spans="1:6" ht="14" x14ac:dyDescent="0.15">
      <c r="A215" s="18"/>
      <c r="B215" s="19"/>
      <c r="C215" s="19"/>
      <c r="D215" s="19"/>
      <c r="E215" s="25"/>
      <c r="F215" s="19"/>
    </row>
    <row r="216" spans="1:6" ht="14" x14ac:dyDescent="0.15">
      <c r="A216" s="18"/>
      <c r="B216" s="19"/>
      <c r="C216" s="19"/>
      <c r="D216" s="19"/>
      <c r="E216" s="25"/>
      <c r="F216" s="19"/>
    </row>
    <row r="217" spans="1:6" ht="14" x14ac:dyDescent="0.15">
      <c r="A217" s="18"/>
      <c r="B217" s="19"/>
      <c r="C217" s="19"/>
      <c r="D217" s="19"/>
      <c r="E217" s="25"/>
      <c r="F217" s="19"/>
    </row>
    <row r="218" spans="1:6" ht="14" x14ac:dyDescent="0.15">
      <c r="A218" s="18"/>
      <c r="B218" s="19"/>
      <c r="C218" s="19"/>
      <c r="D218" s="19"/>
      <c r="E218" s="25"/>
      <c r="F218" s="19"/>
    </row>
    <row r="219" spans="1:6" ht="14" x14ac:dyDescent="0.15">
      <c r="A219" s="18"/>
      <c r="B219" s="19"/>
      <c r="C219" s="19"/>
      <c r="D219" s="19"/>
      <c r="E219" s="25"/>
      <c r="F219" s="19"/>
    </row>
    <row r="220" spans="1:6" ht="14" x14ac:dyDescent="0.15">
      <c r="A220" s="18"/>
      <c r="B220" s="19"/>
      <c r="C220" s="19"/>
      <c r="D220" s="19"/>
      <c r="E220" s="25"/>
      <c r="F220" s="19"/>
    </row>
    <row r="221" spans="1:6" ht="14" x14ac:dyDescent="0.15">
      <c r="A221" s="18"/>
      <c r="B221" s="19"/>
      <c r="C221" s="19"/>
      <c r="D221" s="19"/>
      <c r="E221" s="25"/>
      <c r="F221" s="19"/>
    </row>
    <row r="222" spans="1:6" ht="14" x14ac:dyDescent="0.15">
      <c r="A222" s="18"/>
      <c r="B222" s="19"/>
      <c r="C222" s="19"/>
      <c r="D222" s="19"/>
      <c r="E222" s="25"/>
      <c r="F222" s="19"/>
    </row>
    <row r="223" spans="1:6" ht="14" x14ac:dyDescent="0.15">
      <c r="A223" s="18"/>
      <c r="B223" s="19"/>
      <c r="C223" s="19"/>
      <c r="D223" s="19"/>
      <c r="E223" s="25"/>
      <c r="F223" s="19"/>
    </row>
    <row r="224" spans="1:6" ht="14" x14ac:dyDescent="0.15">
      <c r="A224" s="18"/>
      <c r="B224" s="19"/>
      <c r="C224" s="19"/>
      <c r="D224" s="19"/>
      <c r="E224" s="25"/>
      <c r="F224" s="19"/>
    </row>
    <row r="225" spans="1:6" ht="14" x14ac:dyDescent="0.15">
      <c r="A225" s="18"/>
      <c r="B225" s="19"/>
      <c r="C225" s="19"/>
      <c r="D225" s="19"/>
      <c r="E225" s="25"/>
      <c r="F225" s="19"/>
    </row>
    <row r="226" spans="1:6" ht="14" x14ac:dyDescent="0.15">
      <c r="A226" s="18"/>
      <c r="B226" s="19"/>
      <c r="C226" s="19"/>
      <c r="D226" s="19"/>
      <c r="E226" s="25"/>
      <c r="F226" s="19"/>
    </row>
    <row r="227" spans="1:6" ht="14" x14ac:dyDescent="0.15">
      <c r="A227" s="18"/>
      <c r="B227" s="19"/>
      <c r="C227" s="19"/>
      <c r="D227" s="19"/>
      <c r="E227" s="25"/>
      <c r="F227" s="19"/>
    </row>
    <row r="228" spans="1:6" ht="14" x14ac:dyDescent="0.15">
      <c r="A228" s="18"/>
      <c r="B228" s="19"/>
      <c r="C228" s="19"/>
      <c r="D228" s="19"/>
      <c r="E228" s="25"/>
      <c r="F228" s="19"/>
    </row>
    <row r="229" spans="1:6" ht="14" x14ac:dyDescent="0.15">
      <c r="A229" s="18"/>
      <c r="B229" s="19"/>
      <c r="C229" s="19"/>
      <c r="D229" s="19"/>
      <c r="E229" s="25"/>
      <c r="F229" s="19"/>
    </row>
    <row r="230" spans="1:6" ht="14" x14ac:dyDescent="0.15">
      <c r="A230" s="18"/>
      <c r="B230" s="19"/>
      <c r="C230" s="19"/>
      <c r="D230" s="19"/>
      <c r="E230" s="25"/>
      <c r="F230" s="19"/>
    </row>
    <row r="231" spans="1:6" ht="14" x14ac:dyDescent="0.15">
      <c r="A231" s="18"/>
      <c r="B231" s="19"/>
      <c r="C231" s="19"/>
      <c r="D231" s="19"/>
      <c r="E231" s="25"/>
      <c r="F231" s="19"/>
    </row>
    <row r="232" spans="1:6" ht="14" x14ac:dyDescent="0.15">
      <c r="A232" s="18"/>
      <c r="B232" s="19"/>
      <c r="C232" s="19"/>
      <c r="D232" s="19"/>
      <c r="E232" s="25"/>
      <c r="F232" s="19"/>
    </row>
    <row r="233" spans="1:6" ht="14" x14ac:dyDescent="0.15">
      <c r="A233" s="18"/>
      <c r="B233" s="19"/>
      <c r="C233" s="19"/>
      <c r="D233" s="19"/>
      <c r="E233" s="25"/>
      <c r="F233" s="19"/>
    </row>
    <row r="234" spans="1:6" ht="14" x14ac:dyDescent="0.15">
      <c r="A234" s="18"/>
      <c r="B234" s="19"/>
      <c r="C234" s="19"/>
      <c r="D234" s="19"/>
      <c r="E234" s="25"/>
      <c r="F234" s="19"/>
    </row>
    <row r="235" spans="1:6" ht="14" x14ac:dyDescent="0.15">
      <c r="A235" s="18"/>
      <c r="B235" s="19"/>
      <c r="C235" s="19"/>
      <c r="D235" s="19"/>
      <c r="E235" s="25"/>
      <c r="F235" s="19"/>
    </row>
    <row r="236" spans="1:6" ht="14" x14ac:dyDescent="0.15">
      <c r="A236" s="18"/>
      <c r="B236" s="19"/>
      <c r="C236" s="19"/>
      <c r="D236" s="19"/>
      <c r="E236" s="25"/>
      <c r="F236" s="19"/>
    </row>
    <row r="237" spans="1:6" ht="14" x14ac:dyDescent="0.15">
      <c r="A237" s="18"/>
      <c r="B237" s="19"/>
      <c r="C237" s="19"/>
      <c r="D237" s="19"/>
      <c r="E237" s="25"/>
      <c r="F237" s="19"/>
    </row>
    <row r="238" spans="1:6" ht="14" x14ac:dyDescent="0.15">
      <c r="A238" s="18"/>
      <c r="B238" s="19"/>
      <c r="C238" s="19"/>
      <c r="D238" s="19"/>
      <c r="E238" s="25"/>
      <c r="F238" s="19"/>
    </row>
    <row r="239" spans="1:6" ht="14" x14ac:dyDescent="0.15">
      <c r="A239" s="18"/>
      <c r="B239" s="19"/>
      <c r="C239" s="19"/>
      <c r="D239" s="19"/>
      <c r="E239" s="25"/>
      <c r="F239" s="19"/>
    </row>
    <row r="240" spans="1:6" ht="14" x14ac:dyDescent="0.15">
      <c r="A240" s="18"/>
      <c r="B240" s="19"/>
      <c r="C240" s="19"/>
      <c r="D240" s="19"/>
      <c r="E240" s="25"/>
      <c r="F240" s="19"/>
    </row>
    <row r="241" spans="1:6" ht="14" x14ac:dyDescent="0.15">
      <c r="A241" s="18"/>
      <c r="B241" s="19"/>
      <c r="C241" s="19"/>
      <c r="D241" s="19"/>
      <c r="E241" s="25"/>
      <c r="F241" s="19"/>
    </row>
    <row r="242" spans="1:6" ht="14" x14ac:dyDescent="0.15">
      <c r="A242" s="18"/>
      <c r="B242" s="19"/>
      <c r="C242" s="19"/>
      <c r="D242" s="19"/>
      <c r="E242" s="25"/>
      <c r="F242" s="19"/>
    </row>
    <row r="243" spans="1:6" ht="14" x14ac:dyDescent="0.15">
      <c r="A243" s="18"/>
      <c r="B243" s="19"/>
      <c r="C243" s="19"/>
      <c r="D243" s="19"/>
      <c r="E243" s="25"/>
      <c r="F243" s="19"/>
    </row>
    <row r="244" spans="1:6" ht="14" x14ac:dyDescent="0.15">
      <c r="A244" s="18"/>
      <c r="B244" s="19"/>
      <c r="C244" s="19"/>
      <c r="D244" s="19"/>
      <c r="E244" s="25"/>
      <c r="F244" s="19"/>
    </row>
    <row r="245" spans="1:6" ht="14" x14ac:dyDescent="0.15">
      <c r="A245" s="18"/>
      <c r="B245" s="19"/>
      <c r="C245" s="19"/>
      <c r="D245" s="19"/>
      <c r="E245" s="25"/>
      <c r="F245" s="19"/>
    </row>
    <row r="246" spans="1:6" ht="14" x14ac:dyDescent="0.15">
      <c r="A246" s="18"/>
      <c r="B246" s="19"/>
      <c r="C246" s="19"/>
      <c r="D246" s="19"/>
      <c r="E246" s="25"/>
      <c r="F246" s="19"/>
    </row>
    <row r="247" spans="1:6" ht="14" x14ac:dyDescent="0.15">
      <c r="A247" s="18"/>
      <c r="B247" s="19"/>
      <c r="C247" s="19"/>
      <c r="D247" s="19"/>
      <c r="E247" s="25"/>
      <c r="F247" s="19"/>
    </row>
    <row r="248" spans="1:6" ht="14" x14ac:dyDescent="0.15">
      <c r="A248" s="18"/>
      <c r="B248" s="19"/>
      <c r="C248" s="19"/>
      <c r="D248" s="19"/>
      <c r="E248" s="25"/>
      <c r="F248" s="19"/>
    </row>
    <row r="249" spans="1:6" ht="14" x14ac:dyDescent="0.15">
      <c r="A249" s="18"/>
      <c r="B249" s="19"/>
      <c r="C249" s="19"/>
      <c r="D249" s="19"/>
      <c r="E249" s="25"/>
      <c r="F249" s="19"/>
    </row>
    <row r="250" spans="1:6" ht="14" x14ac:dyDescent="0.15">
      <c r="A250" s="18"/>
      <c r="B250" s="19"/>
      <c r="C250" s="19"/>
      <c r="D250" s="19"/>
      <c r="E250" s="25"/>
      <c r="F250" s="19"/>
    </row>
    <row r="251" spans="1:6" ht="14" x14ac:dyDescent="0.15">
      <c r="A251" s="18"/>
      <c r="B251" s="19"/>
      <c r="C251" s="19"/>
      <c r="D251" s="19"/>
      <c r="E251" s="25"/>
      <c r="F251" s="19"/>
    </row>
    <row r="252" spans="1:6" ht="14" x14ac:dyDescent="0.15">
      <c r="A252" s="18"/>
      <c r="B252" s="19"/>
      <c r="C252" s="19"/>
      <c r="D252" s="19"/>
      <c r="E252" s="25"/>
      <c r="F252" s="19"/>
    </row>
    <row r="253" spans="1:6" ht="14" x14ac:dyDescent="0.15">
      <c r="A253" s="18"/>
      <c r="B253" s="19"/>
      <c r="C253" s="19"/>
      <c r="D253" s="19"/>
      <c r="E253" s="25"/>
      <c r="F253" s="19"/>
    </row>
    <row r="254" spans="1:6" ht="14" x14ac:dyDescent="0.15">
      <c r="A254" s="18"/>
      <c r="B254" s="19"/>
      <c r="C254" s="19"/>
      <c r="D254" s="19"/>
      <c r="E254" s="25"/>
      <c r="F254" s="19"/>
    </row>
    <row r="255" spans="1:6" ht="14" x14ac:dyDescent="0.15">
      <c r="A255" s="18"/>
      <c r="B255" s="19"/>
      <c r="C255" s="19"/>
      <c r="D255" s="19"/>
      <c r="E255" s="25"/>
      <c r="F255" s="19"/>
    </row>
    <row r="256" spans="1:6" ht="14" x14ac:dyDescent="0.15">
      <c r="A256" s="18"/>
      <c r="B256" s="19"/>
      <c r="C256" s="19"/>
      <c r="D256" s="19"/>
      <c r="E256" s="25"/>
      <c r="F256" s="19"/>
    </row>
    <row r="257" spans="1:6" ht="14" x14ac:dyDescent="0.15">
      <c r="A257" s="18"/>
      <c r="B257" s="19"/>
      <c r="C257" s="19"/>
      <c r="D257" s="19"/>
      <c r="E257" s="25"/>
      <c r="F257" s="19"/>
    </row>
    <row r="258" spans="1:6" ht="14" x14ac:dyDescent="0.15">
      <c r="A258" s="18"/>
      <c r="B258" s="19"/>
      <c r="C258" s="19"/>
      <c r="D258" s="19"/>
      <c r="E258" s="25"/>
      <c r="F258" s="19"/>
    </row>
    <row r="259" spans="1:6" ht="14" x14ac:dyDescent="0.15">
      <c r="A259" s="18"/>
      <c r="B259" s="19"/>
      <c r="C259" s="19"/>
      <c r="D259" s="19"/>
      <c r="E259" s="25"/>
      <c r="F259" s="19"/>
    </row>
    <row r="260" spans="1:6" ht="14" x14ac:dyDescent="0.15">
      <c r="A260" s="18"/>
      <c r="B260" s="19"/>
      <c r="C260" s="19"/>
      <c r="D260" s="19"/>
      <c r="E260" s="25"/>
      <c r="F260" s="19"/>
    </row>
    <row r="261" spans="1:6" ht="14" x14ac:dyDescent="0.15">
      <c r="A261" s="18"/>
      <c r="B261" s="19"/>
      <c r="C261" s="19"/>
      <c r="D261" s="19"/>
      <c r="E261" s="25"/>
      <c r="F261" s="19"/>
    </row>
    <row r="262" spans="1:6" ht="14" x14ac:dyDescent="0.15">
      <c r="A262" s="18"/>
      <c r="B262" s="19"/>
      <c r="C262" s="19"/>
      <c r="D262" s="19"/>
      <c r="E262" s="25"/>
      <c r="F262" s="19"/>
    </row>
    <row r="263" spans="1:6" ht="14" x14ac:dyDescent="0.15">
      <c r="A263" s="18"/>
      <c r="B263" s="19"/>
      <c r="C263" s="19"/>
      <c r="D263" s="19"/>
      <c r="E263" s="25"/>
      <c r="F263" s="19"/>
    </row>
    <row r="264" spans="1:6" ht="14" x14ac:dyDescent="0.15">
      <c r="A264" s="18"/>
      <c r="B264" s="19"/>
      <c r="C264" s="19"/>
      <c r="D264" s="19"/>
      <c r="E264" s="25"/>
      <c r="F264" s="19"/>
    </row>
    <row r="265" spans="1:6" ht="14" x14ac:dyDescent="0.15">
      <c r="A265" s="18"/>
      <c r="B265" s="19"/>
      <c r="C265" s="19"/>
      <c r="D265" s="19"/>
      <c r="E265" s="25"/>
      <c r="F265" s="19"/>
    </row>
    <row r="266" spans="1:6" ht="14" x14ac:dyDescent="0.15">
      <c r="A266" s="18"/>
      <c r="B266" s="19"/>
      <c r="C266" s="19"/>
      <c r="D266" s="19"/>
      <c r="E266" s="25"/>
      <c r="F266" s="19"/>
    </row>
    <row r="267" spans="1:6" ht="14" x14ac:dyDescent="0.15">
      <c r="A267" s="18"/>
      <c r="B267" s="19"/>
      <c r="C267" s="19"/>
      <c r="D267" s="19"/>
      <c r="E267" s="25"/>
      <c r="F267" s="19"/>
    </row>
    <row r="268" spans="1:6" ht="14" x14ac:dyDescent="0.15">
      <c r="A268" s="18"/>
      <c r="B268" s="19"/>
      <c r="C268" s="19"/>
      <c r="D268" s="19"/>
      <c r="E268" s="25"/>
      <c r="F268" s="19"/>
    </row>
    <row r="269" spans="1:6" ht="14" x14ac:dyDescent="0.15">
      <c r="A269" s="18"/>
      <c r="B269" s="19"/>
      <c r="C269" s="19"/>
      <c r="D269" s="19"/>
      <c r="E269" s="25"/>
      <c r="F269" s="19"/>
    </row>
    <row r="270" spans="1:6" ht="14" x14ac:dyDescent="0.15">
      <c r="A270" s="18"/>
      <c r="B270" s="19"/>
      <c r="C270" s="19"/>
      <c r="D270" s="19"/>
      <c r="E270" s="25"/>
      <c r="F270" s="19"/>
    </row>
    <row r="271" spans="1:6" ht="14" x14ac:dyDescent="0.15">
      <c r="A271" s="18"/>
      <c r="B271" s="19"/>
      <c r="C271" s="19"/>
      <c r="D271" s="19"/>
      <c r="E271" s="25"/>
      <c r="F271" s="19"/>
    </row>
    <row r="272" spans="1:6" ht="14" x14ac:dyDescent="0.15">
      <c r="A272" s="18"/>
      <c r="B272" s="19"/>
      <c r="C272" s="19"/>
      <c r="D272" s="19"/>
      <c r="E272" s="25"/>
      <c r="F272" s="19"/>
    </row>
    <row r="273" spans="1:6" ht="14" x14ac:dyDescent="0.15">
      <c r="A273" s="18"/>
      <c r="B273" s="19"/>
      <c r="C273" s="19"/>
      <c r="D273" s="19"/>
      <c r="E273" s="25"/>
      <c r="F273" s="19"/>
    </row>
    <row r="274" spans="1:6" ht="14" x14ac:dyDescent="0.15">
      <c r="A274" s="18"/>
      <c r="B274" s="19"/>
      <c r="C274" s="19"/>
      <c r="D274" s="19"/>
      <c r="E274" s="25"/>
      <c r="F274" s="19"/>
    </row>
    <row r="275" spans="1:6" ht="14" x14ac:dyDescent="0.15">
      <c r="A275" s="18"/>
      <c r="B275" s="19"/>
      <c r="C275" s="19"/>
      <c r="D275" s="19"/>
      <c r="E275" s="25"/>
      <c r="F275" s="19"/>
    </row>
    <row r="276" spans="1:6" ht="14" x14ac:dyDescent="0.15">
      <c r="A276" s="18"/>
      <c r="B276" s="19"/>
      <c r="C276" s="19"/>
      <c r="D276" s="19"/>
      <c r="E276" s="25"/>
      <c r="F276" s="19"/>
    </row>
    <row r="277" spans="1:6" ht="14" x14ac:dyDescent="0.15">
      <c r="A277" s="18"/>
      <c r="B277" s="19"/>
      <c r="C277" s="19"/>
      <c r="D277" s="19"/>
      <c r="E277" s="25"/>
      <c r="F277" s="19"/>
    </row>
    <row r="278" spans="1:6" ht="14" x14ac:dyDescent="0.15">
      <c r="A278" s="18"/>
      <c r="B278" s="19"/>
      <c r="C278" s="19"/>
      <c r="D278" s="19"/>
      <c r="E278" s="25"/>
      <c r="F278" s="19"/>
    </row>
    <row r="279" spans="1:6" ht="14" x14ac:dyDescent="0.15">
      <c r="A279" s="18"/>
      <c r="B279" s="19"/>
      <c r="C279" s="19"/>
      <c r="D279" s="19"/>
      <c r="E279" s="25"/>
      <c r="F279" s="19"/>
    </row>
    <row r="280" spans="1:6" ht="14" x14ac:dyDescent="0.15">
      <c r="A280" s="18"/>
      <c r="B280" s="19"/>
      <c r="C280" s="19"/>
      <c r="D280" s="19"/>
      <c r="E280" s="25"/>
      <c r="F280" s="19"/>
    </row>
    <row r="281" spans="1:6" ht="14" x14ac:dyDescent="0.15">
      <c r="A281" s="18"/>
      <c r="B281" s="19"/>
      <c r="C281" s="19"/>
      <c r="D281" s="19"/>
      <c r="E281" s="25"/>
      <c r="F281" s="19"/>
    </row>
    <row r="282" spans="1:6" ht="14" x14ac:dyDescent="0.15">
      <c r="A282" s="18"/>
      <c r="B282" s="19"/>
      <c r="C282" s="19"/>
      <c r="D282" s="19"/>
      <c r="E282" s="25"/>
      <c r="F282" s="19"/>
    </row>
    <row r="283" spans="1:6" ht="14" x14ac:dyDescent="0.15">
      <c r="A283" s="18"/>
      <c r="B283" s="19"/>
      <c r="C283" s="19"/>
      <c r="D283" s="19"/>
      <c r="E283" s="25"/>
      <c r="F283" s="19"/>
    </row>
    <row r="284" spans="1:6" ht="14" x14ac:dyDescent="0.15">
      <c r="A284" s="18"/>
      <c r="B284" s="19"/>
      <c r="C284" s="19"/>
      <c r="D284" s="19"/>
      <c r="E284" s="25"/>
      <c r="F284" s="19"/>
    </row>
    <row r="285" spans="1:6" ht="14" x14ac:dyDescent="0.15">
      <c r="A285" s="18"/>
      <c r="B285" s="19"/>
      <c r="C285" s="19"/>
      <c r="D285" s="19"/>
      <c r="E285" s="25"/>
      <c r="F285" s="19"/>
    </row>
    <row r="286" spans="1:6" ht="14" x14ac:dyDescent="0.15">
      <c r="A286" s="18"/>
      <c r="B286" s="19"/>
      <c r="C286" s="19"/>
      <c r="D286" s="19"/>
      <c r="E286" s="25"/>
      <c r="F286" s="19"/>
    </row>
    <row r="287" spans="1:6" ht="14" x14ac:dyDescent="0.15">
      <c r="A287" s="18"/>
      <c r="B287" s="19"/>
      <c r="C287" s="19"/>
      <c r="D287" s="19"/>
      <c r="E287" s="25"/>
      <c r="F287" s="19"/>
    </row>
    <row r="288" spans="1:6" ht="14" x14ac:dyDescent="0.15">
      <c r="A288" s="18"/>
      <c r="B288" s="19"/>
      <c r="C288" s="19"/>
      <c r="D288" s="19"/>
      <c r="E288" s="25"/>
      <c r="F288" s="19"/>
    </row>
    <row r="289" spans="1:6" ht="14" x14ac:dyDescent="0.15">
      <c r="A289" s="18"/>
      <c r="B289" s="19"/>
      <c r="C289" s="19"/>
      <c r="D289" s="19"/>
      <c r="E289" s="25"/>
      <c r="F289" s="19"/>
    </row>
    <row r="290" spans="1:6" ht="14" x14ac:dyDescent="0.15">
      <c r="A290" s="18"/>
      <c r="B290" s="19"/>
      <c r="C290" s="19"/>
      <c r="D290" s="19"/>
      <c r="E290" s="25"/>
      <c r="F290" s="19"/>
    </row>
    <row r="291" spans="1:6" ht="14" x14ac:dyDescent="0.15">
      <c r="A291" s="18"/>
      <c r="B291" s="19"/>
      <c r="C291" s="19"/>
      <c r="D291" s="19"/>
      <c r="E291" s="25"/>
      <c r="F291" s="19"/>
    </row>
    <row r="292" spans="1:6" ht="14" x14ac:dyDescent="0.15">
      <c r="A292" s="18"/>
      <c r="B292" s="19"/>
      <c r="C292" s="19"/>
      <c r="D292" s="19"/>
      <c r="E292" s="25"/>
      <c r="F292" s="19"/>
    </row>
    <row r="293" spans="1:6" ht="14" x14ac:dyDescent="0.15">
      <c r="A293" s="18"/>
      <c r="B293" s="19"/>
      <c r="C293" s="19"/>
      <c r="D293" s="19"/>
      <c r="E293" s="25"/>
      <c r="F293" s="19"/>
    </row>
    <row r="294" spans="1:6" ht="14" x14ac:dyDescent="0.15">
      <c r="A294" s="18"/>
      <c r="B294" s="19"/>
      <c r="C294" s="19"/>
      <c r="D294" s="19"/>
      <c r="E294" s="25"/>
      <c r="F294" s="19"/>
    </row>
    <row r="295" spans="1:6" ht="14" x14ac:dyDescent="0.15">
      <c r="A295" s="18"/>
      <c r="B295" s="19"/>
      <c r="C295" s="19"/>
      <c r="D295" s="19"/>
      <c r="E295" s="25"/>
      <c r="F295" s="19"/>
    </row>
    <row r="296" spans="1:6" ht="14" x14ac:dyDescent="0.15">
      <c r="A296" s="18"/>
      <c r="B296" s="19"/>
      <c r="C296" s="19"/>
      <c r="D296" s="19"/>
      <c r="E296" s="25"/>
      <c r="F296" s="19"/>
    </row>
    <row r="297" spans="1:6" ht="14" x14ac:dyDescent="0.15">
      <c r="A297" s="18"/>
      <c r="B297" s="19"/>
      <c r="C297" s="19"/>
      <c r="D297" s="19"/>
      <c r="E297" s="25"/>
      <c r="F297" s="19"/>
    </row>
    <row r="298" spans="1:6" ht="14" x14ac:dyDescent="0.15">
      <c r="A298" s="18"/>
      <c r="B298" s="19"/>
      <c r="C298" s="19"/>
      <c r="D298" s="19"/>
      <c r="E298" s="25"/>
      <c r="F298" s="19"/>
    </row>
    <row r="299" spans="1:6" ht="14" x14ac:dyDescent="0.15">
      <c r="A299" s="18"/>
      <c r="B299" s="19"/>
      <c r="C299" s="19"/>
      <c r="D299" s="19"/>
      <c r="E299" s="25"/>
      <c r="F299" s="19"/>
    </row>
    <row r="300" spans="1:6" ht="14" x14ac:dyDescent="0.15">
      <c r="A300" s="18"/>
      <c r="B300" s="19"/>
      <c r="C300" s="19"/>
      <c r="D300" s="19"/>
      <c r="E300" s="25"/>
      <c r="F300" s="19"/>
    </row>
    <row r="301" spans="1:6" ht="14" x14ac:dyDescent="0.15">
      <c r="A301" s="18"/>
      <c r="B301" s="19"/>
      <c r="C301" s="19"/>
      <c r="D301" s="19"/>
      <c r="E301" s="25"/>
      <c r="F301" s="19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ErrorMessage="1" xr:uid="{00000000-0002-0000-0300-000000000000}">
          <x14:formula1>
            <xm:f>Listes!$C$2:$C$28</xm:f>
          </x14:formula1>
          <x14:formula2>
            <xm:f>0</xm:f>
          </x14:formula2>
          <xm:sqref>C2:C3</xm:sqref>
        </x14:dataValidation>
        <x14:dataValidation type="list" operator="equal" allowBlank="1" showErrorMessage="1" xr:uid="{00000000-0002-0000-0300-000001000000}">
          <x14:formula1>
            <xm:f>Listes!$D$2:$D$11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zoomScale="80" zoomScaleNormal="80" workbookViewId="0">
      <pane ySplit="1" topLeftCell="A2" activePane="bottomLeft" state="frozen"/>
      <selection pane="bottomLeft" activeCell="A2" sqref="A2:G4"/>
    </sheetView>
  </sheetViews>
  <sheetFormatPr baseColWidth="10" defaultColWidth="8.5" defaultRowHeight="13" x14ac:dyDescent="0.15"/>
  <cols>
    <col min="1" max="1" width="28" customWidth="1"/>
    <col min="2" max="2" width="12" customWidth="1"/>
    <col min="3" max="3" width="20" customWidth="1"/>
    <col min="4" max="5" width="12" customWidth="1"/>
    <col min="6" max="6" width="18" customWidth="1"/>
    <col min="7" max="7" width="28" customWidth="1"/>
  </cols>
  <sheetData>
    <row r="1" spans="1:7" ht="30" x14ac:dyDescent="0.15">
      <c r="A1" s="14" t="s">
        <v>79</v>
      </c>
      <c r="B1" s="14" t="s">
        <v>77</v>
      </c>
      <c r="C1" s="14" t="s">
        <v>80</v>
      </c>
      <c r="D1" s="14" t="s">
        <v>81</v>
      </c>
      <c r="E1" s="14" t="s">
        <v>82</v>
      </c>
      <c r="F1" s="14" t="s">
        <v>83</v>
      </c>
      <c r="G1" s="14" t="s">
        <v>84</v>
      </c>
    </row>
    <row r="2" spans="1:7" x14ac:dyDescent="0.15">
      <c r="D2" s="12"/>
      <c r="E2" s="12"/>
      <c r="F2" s="12"/>
    </row>
    <row r="3" spans="1:7" x14ac:dyDescent="0.15">
      <c r="D3" s="12"/>
      <c r="E3" s="12"/>
      <c r="F3" s="12"/>
    </row>
    <row r="4" spans="1:7" x14ac:dyDescent="0.15">
      <c r="D4" s="12"/>
      <c r="E4" s="12"/>
      <c r="F4" s="12"/>
    </row>
    <row r="5" spans="1:7" x14ac:dyDescent="0.15">
      <c r="D5" s="12"/>
      <c r="E5" s="12"/>
      <c r="F5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5"/>
  <sheetViews>
    <sheetView zoomScale="80" zoomScaleNormal="80" workbookViewId="0">
      <selection activeCell="E31" sqref="E31"/>
    </sheetView>
  </sheetViews>
  <sheetFormatPr baseColWidth="10" defaultColWidth="11.5" defaultRowHeight="13" x14ac:dyDescent="0.15"/>
  <cols>
    <col min="1" max="1" width="23" customWidth="1"/>
    <col min="2" max="2" width="13.83203125" customWidth="1"/>
    <col min="3" max="3" width="12.83203125" customWidth="1"/>
    <col min="4" max="4" width="13.83203125" customWidth="1"/>
    <col min="6" max="6" width="22.33203125" customWidth="1"/>
    <col min="7" max="7" width="15" customWidth="1"/>
    <col min="8" max="11" width="10.83203125" customWidth="1"/>
  </cols>
  <sheetData>
    <row r="1" spans="1:11" ht="24" customHeight="1" x14ac:dyDescent="0.15">
      <c r="A1" s="3" t="s">
        <v>85</v>
      </c>
      <c r="B1" s="3"/>
      <c r="C1" s="3"/>
      <c r="D1" s="3"/>
      <c r="E1" s="3"/>
      <c r="F1" s="3"/>
      <c r="G1" s="3"/>
      <c r="H1" s="3"/>
    </row>
    <row r="3" spans="1:11" ht="14" x14ac:dyDescent="0.15">
      <c r="A3" s="26" t="s">
        <v>86</v>
      </c>
      <c r="B3" s="27">
        <f>MAX(Positions!A:A)</f>
        <v>46097</v>
      </c>
      <c r="C3" s="28"/>
      <c r="D3" s="29"/>
    </row>
    <row r="5" spans="1:11" ht="14" x14ac:dyDescent="0.15">
      <c r="A5" s="2" t="s">
        <v>87</v>
      </c>
      <c r="B5" s="2"/>
      <c r="C5" s="2"/>
      <c r="D5" s="2"/>
      <c r="F5" s="2" t="s">
        <v>88</v>
      </c>
      <c r="G5" s="2"/>
      <c r="H5" s="2"/>
    </row>
    <row r="6" spans="1:11" ht="15" x14ac:dyDescent="0.15">
      <c r="A6" s="30" t="s">
        <v>60</v>
      </c>
      <c r="B6" s="30" t="s">
        <v>89</v>
      </c>
      <c r="C6" s="30" t="s">
        <v>90</v>
      </c>
      <c r="D6" s="30" t="s">
        <v>91</v>
      </c>
      <c r="F6" s="30" t="s">
        <v>61</v>
      </c>
      <c r="G6" s="30" t="s">
        <v>91</v>
      </c>
      <c r="H6" s="30" t="str">
        <f t="array" ref="H6:K6">TRANSPOSE(A7:A10)</f>
        <v>Paul</v>
      </c>
      <c r="I6" s="30" t="str">
        <v>Claire</v>
      </c>
      <c r="J6" s="30" t="str">
        <v>Léo</v>
      </c>
      <c r="K6" s="30" t="str">
        <v>Zoé</v>
      </c>
    </row>
    <row r="7" spans="1:11" ht="14" x14ac:dyDescent="0.15">
      <c r="A7" s="29" t="str">
        <f>Listes!A2</f>
        <v>Paul</v>
      </c>
      <c r="B7" s="31">
        <f>IF($B$3="","",SUMIFS(Positions!$N$2:$N$300,Positions!$A$2:$A$300,$B$3,Positions!$B$2:$B$300,$A7))</f>
        <v>0</v>
      </c>
      <c r="C7" s="31">
        <f>IF($B$3="","",SUMIFS(Positions!$O$2:$O$300,Positions!$A$2:$A$300,$B$3,Positions!$B$2:$B$300,$A7))</f>
        <v>0</v>
      </c>
      <c r="D7" s="31">
        <f>IF($B$3="","",SUMIFS(Positions!$P$2:$P$300,Positions!$A$2:$A$300,$B$3,Positions!$B$2:$B$300,$A7))</f>
        <v>0</v>
      </c>
      <c r="F7" s="29" t="str">
        <f>Listes!B2</f>
        <v>Cash &amp; dépôts</v>
      </c>
      <c r="G7" s="31">
        <f>IF($B$3="","",SUMIFS(Positions!$P:$P,Positions!$A:$A,$B$3,Positions!$C:$C,$F7))</f>
        <v>0</v>
      </c>
      <c r="H7" s="31">
        <f>IF($B$3="","",SUMIFS(Positions!$P:$P,Positions!$A:$A,$B$3,Positions!$B:$B,H$6,Positions!$C:$C,$F7))</f>
        <v>0</v>
      </c>
      <c r="I7" s="31">
        <f>IF($B$3="","",SUMIFS(Positions!$P:$P,Positions!$A:$A,$B$3,Positions!$B:$B,I$6,Positions!$C:$C,$F7))</f>
        <v>0</v>
      </c>
      <c r="J7" s="31">
        <f>IF($B$3="","",SUMIFS(Positions!$P:$P,Positions!$A:$A,$B$3,Positions!$B:$B,J$6,Positions!$C:$C,$F7))</f>
        <v>0</v>
      </c>
      <c r="K7" s="31">
        <f>IF($B$3="","",SUMIFS(Positions!$P:$P,Positions!$A:$A,$B$3,Positions!$B:$B,K$6,Positions!$C:$C,$F7))</f>
        <v>0</v>
      </c>
    </row>
    <row r="8" spans="1:11" ht="14" x14ac:dyDescent="0.15">
      <c r="A8" s="29" t="str">
        <f>Listes!A3</f>
        <v>Claire</v>
      </c>
      <c r="B8" s="31">
        <f>IF($B$3="","",SUMIFS(Positions!$N$2:$N$300,Positions!$A$2:$A$300,$B$3,Positions!$B$2:$B$300,$A8))</f>
        <v>0</v>
      </c>
      <c r="C8" s="31">
        <f>IF($B$3="","",SUMIFS(Positions!$O$2:$O$300,Positions!$A$2:$A$300,$B$3,Positions!$B$2:$B$300,$A8))</f>
        <v>0</v>
      </c>
      <c r="D8" s="31">
        <f>IF($B$3="","",SUMIFS(Positions!$P$2:$P$300,Positions!$A$2:$A$300,$B$3,Positions!$B$2:$B$300,$A8))</f>
        <v>0</v>
      </c>
      <c r="F8" s="29" t="str">
        <f>Listes!B3</f>
        <v>Monétaire</v>
      </c>
      <c r="G8" s="31">
        <f>IF($B$3="","",SUMIFS(Positions!$P:$P,Positions!$A:$A,$B$3,Positions!$C:$C,$F8))</f>
        <v>0</v>
      </c>
      <c r="H8" s="31">
        <f>IF($B$3="","",SUMIFS(Positions!$P:$P,Positions!$A:$A,$B$3,Positions!$B:$B,H$6,Positions!$C:$C,$F8))</f>
        <v>0</v>
      </c>
      <c r="I8" s="31">
        <f>IF($B$3="","",SUMIFS(Positions!$P:$P,Positions!$A:$A,$B$3,Positions!$B:$B,I$6,Positions!$C:$C,$F8))</f>
        <v>0</v>
      </c>
      <c r="J8" s="31">
        <f>IF($B$3="","",SUMIFS(Positions!$P:$P,Positions!$A:$A,$B$3,Positions!$B:$B,J$6,Positions!$C:$C,$F8))</f>
        <v>0</v>
      </c>
      <c r="K8" s="31">
        <f>IF($B$3="","",SUMIFS(Positions!$P:$P,Positions!$A:$A,$B$3,Positions!$B:$B,K$6,Positions!$C:$C,$F8))</f>
        <v>0</v>
      </c>
    </row>
    <row r="9" spans="1:11" ht="14" x14ac:dyDescent="0.15">
      <c r="A9" s="29" t="str">
        <f>Listes!A4</f>
        <v>Léo</v>
      </c>
      <c r="B9" s="31">
        <f>IF($B$3="","",SUMIFS(Positions!$N$2:$N$300,Positions!$A$2:$A$300,$B$3,Positions!$B$2:$B$300,$A9))</f>
        <v>0</v>
      </c>
      <c r="C9" s="31">
        <f>IF($B$3="","",SUMIFS(Positions!$O$2:$O$300,Positions!$A$2:$A$300,$B$3,Positions!$B$2:$B$300,$A9))</f>
        <v>0</v>
      </c>
      <c r="D9" s="31">
        <f>IF($B$3="","",SUMIFS(Positions!$P$2:$P$300,Positions!$A$2:$A$300,$B$3,Positions!$B$2:$B$300,$A9))</f>
        <v>0</v>
      </c>
      <c r="F9" s="29" t="str">
        <f>Listes!B4</f>
        <v>Obligations</v>
      </c>
      <c r="G9" s="31">
        <f>IF($B$3="","",SUMIFS(Positions!$P:$P,Positions!$A:$A,$B$3,Positions!$C:$C,$F9))</f>
        <v>0</v>
      </c>
      <c r="H9" s="31">
        <f>IF($B$3="","",SUMIFS(Positions!$P:$P,Positions!$A:$A,$B$3,Positions!$B:$B,H$6,Positions!$C:$C,$F9))</f>
        <v>0</v>
      </c>
      <c r="I9" s="31">
        <f>IF($B$3="","",SUMIFS(Positions!$P:$P,Positions!$A:$A,$B$3,Positions!$B:$B,I$6,Positions!$C:$C,$F9))</f>
        <v>0</v>
      </c>
      <c r="J9" s="31">
        <f>IF($B$3="","",SUMIFS(Positions!$P:$P,Positions!$A:$A,$B$3,Positions!$B:$B,J$6,Positions!$C:$C,$F9))</f>
        <v>0</v>
      </c>
      <c r="K9" s="31">
        <f>IF($B$3="","",SUMIFS(Positions!$P:$P,Positions!$A:$A,$B$3,Positions!$B:$B,K$6,Positions!$C:$C,$F9))</f>
        <v>0</v>
      </c>
    </row>
    <row r="10" spans="1:11" ht="14" x14ac:dyDescent="0.15">
      <c r="A10" s="29" t="str">
        <f>Listes!A5</f>
        <v>Zoé</v>
      </c>
      <c r="B10" s="31">
        <f>IF($B$3="","",SUMIFS(Positions!$N$2:$N$300,Positions!$A$2:$A$300,$B$3,Positions!$B$2:$B$300,$A10))</f>
        <v>0</v>
      </c>
      <c r="C10" s="31">
        <f>IF($B$3="","",SUMIFS(Positions!$O$2:$O$300,Positions!$A$2:$A$300,$B$3,Positions!$B$2:$B$300,$A10))</f>
        <v>0</v>
      </c>
      <c r="D10" s="31">
        <f>IF($B$3="","",SUMIFS(Positions!$P$2:$P$300,Positions!$A$2:$A$300,$B$3,Positions!$B$2:$B$300,$A10))</f>
        <v>0</v>
      </c>
      <c r="F10" s="29" t="str">
        <f>Listes!B5</f>
        <v>Actions</v>
      </c>
      <c r="G10" s="31">
        <f>IF($B$3="","",SUMIFS(Positions!$P:$P,Positions!$A:$A,$B$3,Positions!$C:$C,$F10))</f>
        <v>0</v>
      </c>
      <c r="H10" s="31">
        <f>IF($B$3="","",SUMIFS(Positions!$P:$P,Positions!$A:$A,$B$3,Positions!$B:$B,H$6,Positions!$C:$C,$F10))</f>
        <v>0</v>
      </c>
      <c r="I10" s="31">
        <f>IF($B$3="","",SUMIFS(Positions!$P:$P,Positions!$A:$A,$B$3,Positions!$B:$B,I$6,Positions!$C:$C,$F10))</f>
        <v>0</v>
      </c>
      <c r="J10" s="31">
        <f>IF($B$3="","",SUMIFS(Positions!$P:$P,Positions!$A:$A,$B$3,Positions!$B:$B,J$6,Positions!$C:$C,$F10))</f>
        <v>0</v>
      </c>
      <c r="K10" s="31">
        <f>IF($B$3="","",SUMIFS(Positions!$P:$P,Positions!$A:$A,$B$3,Positions!$B:$B,K$6,Positions!$C:$C,$F10))</f>
        <v>0</v>
      </c>
    </row>
    <row r="11" spans="1:11" ht="14" x14ac:dyDescent="0.15">
      <c r="A11" s="32" t="s">
        <v>92</v>
      </c>
      <c r="B11" s="33">
        <f>IF($B$3="","",SUM(B7:B10))</f>
        <v>0</v>
      </c>
      <c r="C11" s="33">
        <f>IF($B$3="","",SUM(C7:C10))</f>
        <v>0</v>
      </c>
      <c r="D11" s="33">
        <f>IF($B$3="","",SUM(D7:D10))</f>
        <v>0</v>
      </c>
      <c r="F11" s="29" t="str">
        <f>Listes!B6</f>
        <v>Immobilier</v>
      </c>
      <c r="G11" s="31">
        <f>IF($B$3="","",SUMIFS(Positions!$P:$P,Positions!$A:$A,$B$3,Positions!$C:$C,$F11))</f>
        <v>0</v>
      </c>
      <c r="H11" s="31">
        <f>IF($B$3="","",SUMIFS(Positions!$P:$P,Positions!$A:$A,$B$3,Positions!$B:$B,H$6,Positions!$C:$C,$F11))</f>
        <v>0</v>
      </c>
      <c r="I11" s="31">
        <f>IF($B$3="","",SUMIFS(Positions!$P:$P,Positions!$A:$A,$B$3,Positions!$B:$B,I$6,Positions!$C:$C,$F11))</f>
        <v>0</v>
      </c>
      <c r="J11" s="31">
        <f>IF($B$3="","",SUMIFS(Positions!$P:$P,Positions!$A:$A,$B$3,Positions!$B:$B,J$6,Positions!$C:$C,$F11))</f>
        <v>0</v>
      </c>
      <c r="K11" s="31">
        <f>IF($B$3="","",SUMIFS(Positions!$P:$P,Positions!$A:$A,$B$3,Positions!$B:$B,K$6,Positions!$C:$C,$F11))</f>
        <v>0</v>
      </c>
    </row>
    <row r="12" spans="1:11" ht="14" x14ac:dyDescent="0.15">
      <c r="F12" s="29" t="str">
        <f>Listes!B7</f>
        <v>SCPI</v>
      </c>
      <c r="G12" s="31">
        <f>IF($B$3="","",SUMIFS(Positions!$P:$P,Positions!$A:$A,$B$3,Positions!$C:$C,$F12))</f>
        <v>0</v>
      </c>
      <c r="H12" s="31">
        <f>IF($B$3="","",SUMIFS(Positions!$P:$P,Positions!$A:$A,$B$3,Positions!$B:$B,H$6,Positions!$C:$C,$F12))</f>
        <v>0</v>
      </c>
      <c r="I12" s="31">
        <f>IF($B$3="","",SUMIFS(Positions!$P:$P,Positions!$A:$A,$B$3,Positions!$B:$B,I$6,Positions!$C:$C,$F12))</f>
        <v>0</v>
      </c>
      <c r="J12" s="31">
        <f>IF($B$3="","",SUMIFS(Positions!$P:$P,Positions!$A:$A,$B$3,Positions!$B:$B,J$6,Positions!$C:$C,$F12))</f>
        <v>0</v>
      </c>
      <c r="K12" s="31">
        <f>IF($B$3="","",SUMIFS(Positions!$P:$P,Positions!$A:$A,$B$3,Positions!$B:$B,K$6,Positions!$C:$C,$F12))</f>
        <v>0</v>
      </c>
    </row>
    <row r="13" spans="1:11" ht="14" x14ac:dyDescent="0.15">
      <c r="F13" s="29" t="str">
        <f>Listes!B8</f>
        <v>Fond Euro</v>
      </c>
      <c r="G13" s="31">
        <f>IF($B$3="","",SUMIFS(Positions!$P:$P,Positions!$A:$A,$B$3,Positions!$C:$C,$F13))</f>
        <v>0</v>
      </c>
      <c r="H13" s="31">
        <f>IF($B$3="","",SUMIFS(Positions!$P:$P,Positions!$A:$A,$B$3,Positions!$B:$B,H$6,Positions!$C:$C,$F13))</f>
        <v>0</v>
      </c>
      <c r="I13" s="31">
        <f>IF($B$3="","",SUMIFS(Positions!$P:$P,Positions!$A:$A,$B$3,Positions!$B:$B,I$6,Positions!$C:$C,$F13))</f>
        <v>0</v>
      </c>
      <c r="J13" s="31">
        <f>IF($B$3="","",SUMIFS(Positions!$P:$P,Positions!$A:$A,$B$3,Positions!$B:$B,J$6,Positions!$C:$C,$F13))</f>
        <v>0</v>
      </c>
      <c r="K13" s="31">
        <f>IF($B$3="","",SUMIFS(Positions!$P:$P,Positions!$A:$A,$B$3,Positions!$B:$B,K$6,Positions!$C:$C,$F13))</f>
        <v>0</v>
      </c>
    </row>
    <row r="14" spans="1:11" ht="14" x14ac:dyDescent="0.15">
      <c r="A14" s="2" t="s">
        <v>93</v>
      </c>
      <c r="B14" s="2"/>
      <c r="C14" s="2"/>
      <c r="F14" s="29" t="str">
        <f>Listes!B9</f>
        <v>Produits Structurés</v>
      </c>
      <c r="G14" s="31">
        <f>IF($B$3="","",SUMIFS(Positions!$P:$P,Positions!$A:$A,$B$3,Positions!$C:$C,$F14))</f>
        <v>0</v>
      </c>
      <c r="H14" s="31">
        <f>IF($B$3="","",SUMIFS(Positions!$P:$P,Positions!$A:$A,$B$3,Positions!$B:$B,H$6,Positions!$C:$C,$F14))</f>
        <v>0</v>
      </c>
      <c r="I14" s="31">
        <f>IF($B$3="","",SUMIFS(Positions!$P:$P,Positions!$A:$A,$B$3,Positions!$B:$B,I$6,Positions!$C:$C,$F14))</f>
        <v>0</v>
      </c>
      <c r="J14" s="31">
        <f>IF($B$3="","",SUMIFS(Positions!$P:$P,Positions!$A:$A,$B$3,Positions!$B:$B,J$6,Positions!$C:$C,$F14))</f>
        <v>0</v>
      </c>
      <c r="K14" s="31">
        <f>IF($B$3="","",SUMIFS(Positions!$P:$P,Positions!$A:$A,$B$3,Positions!$B:$B,K$6,Positions!$C:$C,$F14))</f>
        <v>0</v>
      </c>
    </row>
    <row r="15" spans="1:11" ht="15" x14ac:dyDescent="0.15">
      <c r="A15" s="30" t="s">
        <v>94</v>
      </c>
      <c r="B15" s="30" t="s">
        <v>95</v>
      </c>
      <c r="C15" s="30" t="s">
        <v>96</v>
      </c>
      <c r="F15" s="29" t="str">
        <f>Listes!B10</f>
        <v>Crypto</v>
      </c>
      <c r="G15" s="31">
        <f>IF($B$3="","",SUMIFS(Positions!$P:$P,Positions!$A:$A,$B$3,Positions!$C:$C,$F15))</f>
        <v>0</v>
      </c>
      <c r="H15" s="31">
        <f>IF($B$3="","",SUMIFS(Positions!$P:$P,Positions!$A:$A,$B$3,Positions!$B:$B,H$6,Positions!$C:$C,$F15))</f>
        <v>0</v>
      </c>
      <c r="I15" s="31">
        <f>IF($B$3="","",SUMIFS(Positions!$P:$P,Positions!$A:$A,$B$3,Positions!$B:$B,I$6,Positions!$C:$C,$F15))</f>
        <v>0</v>
      </c>
      <c r="J15" s="31">
        <f>IF($B$3="","",SUMIFS(Positions!$P:$P,Positions!$A:$A,$B$3,Positions!$B:$B,J$6,Positions!$C:$C,$F15))</f>
        <v>0</v>
      </c>
      <c r="K15" s="31">
        <f>IF($B$3="","",SUMIFS(Positions!$P:$P,Positions!$A:$A,$B$3,Positions!$B:$B,K$6,Positions!$C:$C,$F15))</f>
        <v>0</v>
      </c>
    </row>
    <row r="16" spans="1:11" ht="14" x14ac:dyDescent="0.15">
      <c r="A16" s="34">
        <v>46069</v>
      </c>
      <c r="B16" s="34">
        <f>$B$3</f>
        <v>46097</v>
      </c>
      <c r="C16" s="28" t="s">
        <v>97</v>
      </c>
      <c r="F16" s="29" t="str">
        <f>Listes!B11</f>
        <v>Objets de valeur</v>
      </c>
      <c r="G16" s="31">
        <f>IF($B$3="","",SUMIFS(Positions!$P:$P,Positions!$A:$A,$B$3,Positions!$C:$C,$F16))</f>
        <v>0</v>
      </c>
      <c r="H16" s="31">
        <f>IF($B$3="","",SUMIFS(Positions!$P:$P,Positions!$A:$A,$B$3,Positions!$B:$B,H$6,Positions!$C:$C,$F16))</f>
        <v>0</v>
      </c>
      <c r="I16" s="31">
        <f>IF($B$3="","",SUMIFS(Positions!$P:$P,Positions!$A:$A,$B$3,Positions!$B:$B,I$6,Positions!$C:$C,$F16))</f>
        <v>0</v>
      </c>
      <c r="J16" s="31">
        <f>IF($B$3="","",SUMIFS(Positions!$P:$P,Positions!$A:$A,$B$3,Positions!$B:$B,J$6,Positions!$C:$C,$F16))</f>
        <v>0</v>
      </c>
      <c r="K16" s="31">
        <f>IF($B$3="","",SUMIFS(Positions!$P:$P,Positions!$A:$A,$B$3,Positions!$B:$B,K$6,Positions!$C:$C,$F16))</f>
        <v>0</v>
      </c>
    </row>
    <row r="17" spans="1:11" ht="14" x14ac:dyDescent="0.15">
      <c r="A17" s="29"/>
      <c r="B17" s="29"/>
      <c r="C17" s="29"/>
      <c r="F17" s="29" t="str">
        <f>Listes!B12</f>
        <v>Autre</v>
      </c>
      <c r="G17" s="31">
        <f>IF($B$3="","",SUMIFS(Positions!$P:$P,Positions!$A:$A,$B$3,Positions!$C:$C,$F17))</f>
        <v>0</v>
      </c>
      <c r="H17" s="31">
        <f>IF($B$3="","",SUMIFS(Positions!$P:$P,Positions!$A:$A,$B$3,Positions!$B:$B,H$6,Positions!$C:$C,$F17))</f>
        <v>0</v>
      </c>
      <c r="I17" s="31">
        <f>IF($B$3="","",SUMIFS(Positions!$P:$P,Positions!$A:$A,$B$3,Positions!$B:$B,I$6,Positions!$C:$C,$F17))</f>
        <v>0</v>
      </c>
      <c r="J17" s="31">
        <f>IF($B$3="","",SUMIFS(Positions!$P:$P,Positions!$A:$A,$B$3,Positions!$B:$B,J$6,Positions!$C:$C,$F17))</f>
        <v>0</v>
      </c>
      <c r="K17" s="31">
        <f>IF($B$3="","",SUMIFS(Positions!$P:$P,Positions!$A:$A,$B$3,Positions!$B:$B,K$6,Positions!$C:$C,$F17))</f>
        <v>0</v>
      </c>
    </row>
    <row r="18" spans="1:11" ht="14" x14ac:dyDescent="0.15">
      <c r="A18" s="26" t="s">
        <v>98</v>
      </c>
      <c r="B18" s="35">
        <f>IF($A$16="","",SUMIFS(Positions!$P$2:$P$300,Positions!$A$2:$A$300,$A$16))</f>
        <v>0</v>
      </c>
      <c r="C18" s="28" t="s">
        <v>99</v>
      </c>
      <c r="F18" s="36" t="s">
        <v>100</v>
      </c>
      <c r="G18" s="37">
        <f>IF(SUM(G7:G17)=D11,SUM(G7:G17),"Erreur")</f>
        <v>0</v>
      </c>
      <c r="H18" s="37">
        <f>IF(SUM(H7:H17)=D7,SUM(H7:H17),"Erreur")</f>
        <v>0</v>
      </c>
      <c r="I18" s="37">
        <f>IF(SUM(I7:I17)=D8,SUM(I7:I17),"Erreur")</f>
        <v>0</v>
      </c>
      <c r="J18" s="37">
        <f>IF(SUM(J7:J17)=D9,SUM(J7:J17),"Erreur")</f>
        <v>0</v>
      </c>
      <c r="K18" s="37">
        <f>IF(SUM(K7:K17)=D10,SUM(K7:K17),"Erreur")</f>
        <v>0</v>
      </c>
    </row>
    <row r="19" spans="1:11" ht="14" x14ac:dyDescent="0.15">
      <c r="A19" s="26" t="s">
        <v>101</v>
      </c>
      <c r="B19" s="35">
        <f>IF($B$16="","",SUMIFS(Positions!$P$2:$P$300,Positions!$A$2:$A$300,$B$16))</f>
        <v>0</v>
      </c>
      <c r="C19" s="28" t="s">
        <v>102</v>
      </c>
    </row>
    <row r="20" spans="1:11" ht="14" x14ac:dyDescent="0.15">
      <c r="A20" s="26" t="s">
        <v>103</v>
      </c>
      <c r="B20" s="35">
        <f>IF(OR($A$16="",$B$16=""),"",SUMIFS(Flux!$E$2:$E$301,Flux!$A$2:$A$301,"&gt;="&amp;$A$16,Flux!$A$2:$A$301,"&lt;="&amp;$B$16))</f>
        <v>0</v>
      </c>
      <c r="C20" s="28" t="s">
        <v>104</v>
      </c>
      <c r="F20" s="2" t="s">
        <v>105</v>
      </c>
      <c r="G20" s="2"/>
      <c r="H20" s="2"/>
    </row>
    <row r="21" spans="1:11" ht="15" x14ac:dyDescent="0.15">
      <c r="A21" s="26" t="s">
        <v>106</v>
      </c>
      <c r="B21" s="35">
        <f>IF(OR($B$18="",$B$19=""),"",$B$19-$B$18)</f>
        <v>0</v>
      </c>
      <c r="C21" s="28" t="s">
        <v>107</v>
      </c>
      <c r="F21" s="30" t="s">
        <v>62</v>
      </c>
      <c r="G21" s="30" t="s">
        <v>91</v>
      </c>
      <c r="H21" s="30" t="str">
        <f t="array" ref="H21:K21">TRANSPOSE(Listes!A2:A5)</f>
        <v>Paul</v>
      </c>
      <c r="I21" s="30" t="str">
        <v>Claire</v>
      </c>
      <c r="J21" s="30" t="str">
        <v>Léo</v>
      </c>
      <c r="K21" s="30" t="str">
        <v>Zoé</v>
      </c>
    </row>
    <row r="22" spans="1:11" ht="14" x14ac:dyDescent="0.15">
      <c r="A22" s="26" t="s">
        <v>108</v>
      </c>
      <c r="B22" s="35">
        <f>IF(OR($B$21="",$B$20=""),"",$B$21-$B$20)</f>
        <v>0</v>
      </c>
      <c r="C22" s="28" t="s">
        <v>109</v>
      </c>
      <c r="F22" s="29" t="str">
        <f>Listes!C2</f>
        <v>Compte courant</v>
      </c>
      <c r="G22" s="31">
        <f>IF($B$3="","",SUMIFS(Positions!$P:$P,Positions!$A:$A,$B$3,Positions!$D:$D,$F22))</f>
        <v>0</v>
      </c>
      <c r="H22" s="31">
        <f>IF($B$3="","",SUMIFS(Positions!$P:$P,Positions!$A:$A,$B$3,Positions!$B:$B,H$21,Positions!$D:$D,$F22))</f>
        <v>0</v>
      </c>
      <c r="I22" s="31">
        <f>IF($B$3="","",SUMIFS(Positions!$P:$P,Positions!$A:$A,$B$3,Positions!$B:$B,I$21,Positions!$D:$D,$F22))</f>
        <v>0</v>
      </c>
      <c r="J22" s="31">
        <f>IF($B$3="","",SUMIFS(Positions!$P:$P,Positions!$A:$A,$B$3,Positions!$B:$B,J$21,Positions!$D:$D,$F22))</f>
        <v>0</v>
      </c>
      <c r="K22" s="31">
        <f>IF($B$3="","",SUMIFS(Positions!$P:$P,Positions!$A:$A,$B$3,Positions!$B:$B,K$21,Positions!$D:$D,$F22))</f>
        <v>0</v>
      </c>
    </row>
    <row r="23" spans="1:11" ht="14" x14ac:dyDescent="0.15">
      <c r="F23" s="29" t="str">
        <f>Listes!C3</f>
        <v>Livret A</v>
      </c>
      <c r="G23" s="31">
        <f>IF($B$3="","",SUMIFS(Positions!$P:$P,Positions!$A:$A,$B$3,Positions!$D:$D,$F23))</f>
        <v>0</v>
      </c>
      <c r="H23" s="31">
        <f>IF($B$3="","",SUMIFS(Positions!$P:$P,Positions!$A:$A,$B$3,Positions!$B:$B,H$21,Positions!$D:$D,$F23))</f>
        <v>0</v>
      </c>
      <c r="I23" s="31">
        <f>IF($B$3="","",SUMIFS(Positions!$P:$P,Positions!$A:$A,$B$3,Positions!$B:$B,I$21,Positions!$D:$D,$F23))</f>
        <v>0</v>
      </c>
      <c r="J23" s="31">
        <f>IF($B$3="","",SUMIFS(Positions!$P:$P,Positions!$A:$A,$B$3,Positions!$B:$B,J$21,Positions!$D:$D,$F23))</f>
        <v>0</v>
      </c>
      <c r="K23" s="31">
        <f>IF($B$3="","",SUMIFS(Positions!$P:$P,Positions!$A:$A,$B$3,Positions!$B:$B,K$21,Positions!$D:$D,$F23))</f>
        <v>0</v>
      </c>
    </row>
    <row r="24" spans="1:11" ht="14" x14ac:dyDescent="0.15">
      <c r="F24" s="29" t="str">
        <f>Listes!C4</f>
        <v>LDDS</v>
      </c>
      <c r="G24" s="31">
        <f>IF($B$3="","",SUMIFS(Positions!$P:$P,Positions!$A:$A,$B$3,Positions!$D:$D,$F24))</f>
        <v>0</v>
      </c>
      <c r="H24" s="31">
        <f>IF($B$3="","",SUMIFS(Positions!$P:$P,Positions!$A:$A,$B$3,Positions!$B:$B,H$21,Positions!$D:$D,$F24))</f>
        <v>0</v>
      </c>
      <c r="I24" s="31">
        <f>IF($B$3="","",SUMIFS(Positions!$P:$P,Positions!$A:$A,$B$3,Positions!$B:$B,I$21,Positions!$D:$D,$F24))</f>
        <v>0</v>
      </c>
      <c r="J24" s="31">
        <f>IF($B$3="","",SUMIFS(Positions!$P:$P,Positions!$A:$A,$B$3,Positions!$B:$B,J$21,Positions!$D:$D,$F24))</f>
        <v>0</v>
      </c>
      <c r="K24" s="31">
        <f>IF($B$3="","",SUMIFS(Positions!$P:$P,Positions!$A:$A,$B$3,Positions!$B:$B,K$21,Positions!$D:$D,$F24))</f>
        <v>0</v>
      </c>
    </row>
    <row r="25" spans="1:11" ht="14" x14ac:dyDescent="0.15">
      <c r="A25" s="2" t="s">
        <v>110</v>
      </c>
      <c r="B25" s="2"/>
      <c r="C25" s="2"/>
      <c r="D25" s="2"/>
      <c r="F25" s="29" t="str">
        <f>Listes!C5</f>
        <v>Livret Bourso+</v>
      </c>
      <c r="G25" s="31">
        <f>IF($B$3="","",SUMIFS(Positions!$P:$P,Positions!$A:$A,$B$3,Positions!$D:$D,$F25))</f>
        <v>0</v>
      </c>
      <c r="H25" s="31">
        <f>IF($B$3="","",SUMIFS(Positions!$P:$P,Positions!$A:$A,$B$3,Positions!$B:$B,H$21,Positions!$D:$D,$F25))</f>
        <v>0</v>
      </c>
      <c r="I25" s="31">
        <f>IF($B$3="","",SUMIFS(Positions!$P:$P,Positions!$A:$A,$B$3,Positions!$B:$B,I$21,Positions!$D:$D,$F25))</f>
        <v>0</v>
      </c>
      <c r="J25" s="31">
        <f>IF($B$3="","",SUMIFS(Positions!$P:$P,Positions!$A:$A,$B$3,Positions!$B:$B,J$21,Positions!$D:$D,$F25))</f>
        <v>0</v>
      </c>
      <c r="K25" s="31">
        <f>IF($B$3="","",SUMIFS(Positions!$P:$P,Positions!$A:$A,$B$3,Positions!$B:$B,K$21,Positions!$D:$D,$F25))</f>
        <v>0</v>
      </c>
    </row>
    <row r="26" spans="1:11" ht="15" x14ac:dyDescent="0.15">
      <c r="A26" s="30" t="s">
        <v>59</v>
      </c>
      <c r="B26" s="30" t="s">
        <v>111</v>
      </c>
      <c r="C26" s="30" t="s">
        <v>112</v>
      </c>
      <c r="D26" s="30" t="s">
        <v>113</v>
      </c>
      <c r="F26" s="29" t="str">
        <f>Listes!C6</f>
        <v>PEL/CEL</v>
      </c>
      <c r="G26" s="31">
        <f>IF($B$3="","",SUMIFS(Positions!$P:$P,Positions!$A:$A,$B$3,Positions!$D:$D,$F26))</f>
        <v>0</v>
      </c>
      <c r="H26" s="31">
        <f>IF($B$3="","",SUMIFS(Positions!$P:$P,Positions!$A:$A,$B$3,Positions!$B:$B,H$21,Positions!$D:$D,$F26))</f>
        <v>0</v>
      </c>
      <c r="I26" s="31">
        <f>IF($B$3="","",SUMIFS(Positions!$P:$P,Positions!$A:$A,$B$3,Positions!$B:$B,I$21,Positions!$D:$D,$F26))</f>
        <v>0</v>
      </c>
      <c r="J26" s="31">
        <f>IF($B$3="","",SUMIFS(Positions!$P:$P,Positions!$A:$A,$B$3,Positions!$B:$B,J$21,Positions!$D:$D,$F26))</f>
        <v>0</v>
      </c>
      <c r="K26" s="31">
        <f>IF($B$3="","",SUMIFS(Positions!$P:$P,Positions!$A:$A,$B$3,Positions!$B:$B,K$21,Positions!$D:$D,$F26))</f>
        <v>0</v>
      </c>
    </row>
    <row r="27" spans="1:11" ht="14" x14ac:dyDescent="0.15">
      <c r="A27" s="34">
        <v>46069</v>
      </c>
      <c r="B27" s="35">
        <f>IF($A27="","",SUMIFS(Positions!$P$2:$P$300,Positions!$A$2:$A$300,$A27))</f>
        <v>0</v>
      </c>
      <c r="C27" s="35"/>
      <c r="D27" s="38"/>
      <c r="F27" s="29" t="str">
        <f>Listes!C7</f>
        <v>PEA</v>
      </c>
      <c r="G27" s="31">
        <f>IF($B$3="","",SUMIFS(Positions!$P:$P,Positions!$A:$A,$B$3,Positions!$D:$D,$F27))</f>
        <v>0</v>
      </c>
      <c r="H27" s="31">
        <f>IF($B$3="","",SUMIFS(Positions!$P:$P,Positions!$A:$A,$B$3,Positions!$B:$B,H$21,Positions!$D:$D,$F27))</f>
        <v>0</v>
      </c>
      <c r="I27" s="31">
        <f>IF($B$3="","",SUMIFS(Positions!$P:$P,Positions!$A:$A,$B$3,Positions!$B:$B,I$21,Positions!$D:$D,$F27))</f>
        <v>0</v>
      </c>
      <c r="J27" s="31">
        <f>IF($B$3="","",SUMIFS(Positions!$P:$P,Positions!$A:$A,$B$3,Positions!$B:$B,J$21,Positions!$D:$D,$F27))</f>
        <v>0</v>
      </c>
      <c r="K27" s="31">
        <f>IF($B$3="","",SUMIFS(Positions!$P:$P,Positions!$A:$A,$B$3,Positions!$B:$B,K$21,Positions!$D:$D,$F27))</f>
        <v>0</v>
      </c>
    </row>
    <row r="28" spans="1:11" ht="14" x14ac:dyDescent="0.15">
      <c r="A28" s="34">
        <v>46070</v>
      </c>
      <c r="B28" s="35">
        <f>IF($A28="","",SUMIFS(Positions!$P$2:$P$300,Positions!$A$2:$A$300,$A28))</f>
        <v>0</v>
      </c>
      <c r="C28" s="35">
        <f>IF(OR($A28="",$A27=""),"",$B28-$B27)</f>
        <v>0</v>
      </c>
      <c r="D28" s="38" t="str">
        <f>IF(OR($A28="",$A27="",$B27=0),"",$C28/$B27)</f>
        <v/>
      </c>
      <c r="F28" s="29" t="str">
        <f>Listes!C8</f>
        <v>CTO</v>
      </c>
      <c r="G28" s="31">
        <f>IF($B$3="","",SUMIFS(Positions!$P:$P,Positions!$A:$A,$B$3,Positions!$D:$D,$F28))</f>
        <v>0</v>
      </c>
      <c r="H28" s="31">
        <f>IF($B$3="","",SUMIFS(Positions!$P:$P,Positions!$A:$A,$B$3,Positions!$B:$B,H$21,Positions!$D:$D,$F28))</f>
        <v>0</v>
      </c>
      <c r="I28" s="31">
        <f>IF($B$3="","",SUMIFS(Positions!$P:$P,Positions!$A:$A,$B$3,Positions!$B:$B,I$21,Positions!$D:$D,$F28))</f>
        <v>0</v>
      </c>
      <c r="J28" s="31">
        <f>IF($B$3="","",SUMIFS(Positions!$P:$P,Positions!$A:$A,$B$3,Positions!$B:$B,J$21,Positions!$D:$D,$F28))</f>
        <v>0</v>
      </c>
      <c r="K28" s="31">
        <f>IF($B$3="","",SUMIFS(Positions!$P:$P,Positions!$A:$A,$B$3,Positions!$B:$B,K$21,Positions!$D:$D,$F28))</f>
        <v>0</v>
      </c>
    </row>
    <row r="29" spans="1:11" ht="14" x14ac:dyDescent="0.15">
      <c r="A29" s="34">
        <v>46084</v>
      </c>
      <c r="B29" s="35">
        <f>IF($A29="","",SUMIFS(Positions!$P$2:$P$300,Positions!$A$2:$A$300,$A29))</f>
        <v>0</v>
      </c>
      <c r="C29" s="35">
        <f>IF(OR($A29="",$A28=""),"",$B29-$B28)</f>
        <v>0</v>
      </c>
      <c r="D29" s="38" t="str">
        <f>IF(OR($A29="",$A28="",$B28=0),"",$C29/$B28)</f>
        <v/>
      </c>
      <c r="F29" s="29" t="str">
        <f>Listes!C9</f>
        <v>Assurance-vie</v>
      </c>
      <c r="G29" s="31">
        <f>IF($B$3="","",SUMIFS(Positions!$P:$P,Positions!$A:$A,$B$3,Positions!$D:$D,$F29))</f>
        <v>0</v>
      </c>
      <c r="H29" s="31">
        <f>IF($B$3="","",SUMIFS(Positions!$P:$P,Positions!$A:$A,$B$3,Positions!$B:$B,H$21,Positions!$D:$D,$F29))</f>
        <v>0</v>
      </c>
      <c r="I29" s="31">
        <f>IF($B$3="","",SUMIFS(Positions!$P:$P,Positions!$A:$A,$B$3,Positions!$B:$B,I$21,Positions!$D:$D,$F29))</f>
        <v>0</v>
      </c>
      <c r="J29" s="31">
        <f>IF($B$3="","",SUMIFS(Positions!$P:$P,Positions!$A:$A,$B$3,Positions!$B:$B,J$21,Positions!$D:$D,$F29))</f>
        <v>0</v>
      </c>
      <c r="K29" s="31">
        <f>IF($B$3="","",SUMIFS(Positions!$P:$P,Positions!$A:$A,$B$3,Positions!$B:$B,K$21,Positions!$D:$D,$F29))</f>
        <v>0</v>
      </c>
    </row>
    <row r="30" spans="1:11" ht="14" x14ac:dyDescent="0.15">
      <c r="A30" s="34">
        <v>46097</v>
      </c>
      <c r="B30" s="35">
        <f>IF($A30="","",SUMIFS(Positions!$P$2:$P$300,Positions!$A$2:$A$300,$A30))</f>
        <v>0</v>
      </c>
      <c r="C30" s="35">
        <f>IF(OR($A30="",$A29=""),"",$B30-$B29)</f>
        <v>0</v>
      </c>
      <c r="D30" s="38" t="str">
        <f>IF(OR($A30="",$A29="",$B29=0),"",$C30/$B29)</f>
        <v/>
      </c>
      <c r="F30" s="29" t="str">
        <f>Listes!C10</f>
        <v>PER</v>
      </c>
      <c r="G30" s="31">
        <f>IF($B$3="","",SUMIFS(Positions!$P:$P,Positions!$A:$A,$B$3,Positions!$D:$D,$F30))</f>
        <v>0</v>
      </c>
      <c r="H30" s="31">
        <f>IF($B$3="","",SUMIFS(Positions!$P:$P,Positions!$A:$A,$B$3,Positions!$B:$B,H$21,Positions!$D:$D,$F30))</f>
        <v>0</v>
      </c>
      <c r="I30" s="31">
        <f>IF($B$3="","",SUMIFS(Positions!$P:$P,Positions!$A:$A,$B$3,Positions!$B:$B,I$21,Positions!$D:$D,$F30))</f>
        <v>0</v>
      </c>
      <c r="J30" s="31">
        <f>IF($B$3="","",SUMIFS(Positions!$P:$P,Positions!$A:$A,$B$3,Positions!$B:$B,J$21,Positions!$D:$D,$F30))</f>
        <v>0</v>
      </c>
      <c r="K30" s="31">
        <f>IF($B$3="","",SUMIFS(Positions!$P:$P,Positions!$A:$A,$B$3,Positions!$B:$B,K$21,Positions!$D:$D,$F30))</f>
        <v>0</v>
      </c>
    </row>
    <row r="31" spans="1:11" ht="14" x14ac:dyDescent="0.15">
      <c r="A31" s="34"/>
      <c r="B31" s="35"/>
      <c r="C31" s="35"/>
      <c r="D31" s="38"/>
      <c r="F31" s="29" t="str">
        <f>Listes!C11</f>
        <v>Crypto</v>
      </c>
      <c r="G31" s="31">
        <f>IF($B$3="","",SUMIFS(Positions!$P:$P,Positions!$A:$A,$B$3,Positions!$D:$D,$F31))</f>
        <v>0</v>
      </c>
      <c r="H31" s="31">
        <f>IF($B$3="","",SUMIFS(Positions!$P:$P,Positions!$A:$A,$B$3,Positions!$B:$B,H$21,Positions!$D:$D,$F31))</f>
        <v>0</v>
      </c>
      <c r="I31" s="31">
        <f>IF($B$3="","",SUMIFS(Positions!$P:$P,Positions!$A:$A,$B$3,Positions!$B:$B,I$21,Positions!$D:$D,$F31))</f>
        <v>0</v>
      </c>
      <c r="J31" s="31">
        <f>IF($B$3="","",SUMIFS(Positions!$P:$P,Positions!$A:$A,$B$3,Positions!$B:$B,J$21,Positions!$D:$D,$F31))</f>
        <v>0</v>
      </c>
      <c r="K31" s="31">
        <f>IF($B$3="","",SUMIFS(Positions!$P:$P,Positions!$A:$A,$B$3,Positions!$B:$B,K$21,Positions!$D:$D,$F31))</f>
        <v>0</v>
      </c>
    </row>
    <row r="32" spans="1:11" ht="14" x14ac:dyDescent="0.15">
      <c r="A32" s="34"/>
      <c r="B32" s="35"/>
      <c r="C32" s="35"/>
      <c r="D32" s="38"/>
      <c r="F32" s="29" t="str">
        <f>Listes!C12</f>
        <v>Immobilier</v>
      </c>
      <c r="G32" s="31">
        <f>IF($B$3="","",SUMIFS(Positions!$P:$P,Positions!$A:$A,$B$3,Positions!$D:$D,$F32))</f>
        <v>0</v>
      </c>
      <c r="H32" s="31">
        <f>IF($B$3="","",SUMIFS(Positions!$P:$P,Positions!$A:$A,$B$3,Positions!$B:$B,H$21,Positions!$D:$D,$F32))</f>
        <v>0</v>
      </c>
      <c r="I32" s="31">
        <f>IF($B$3="","",SUMIFS(Positions!$P:$P,Positions!$A:$A,$B$3,Positions!$B:$B,I$21,Positions!$D:$D,$F32))</f>
        <v>0</v>
      </c>
      <c r="J32" s="31">
        <f>IF($B$3="","",SUMIFS(Positions!$P:$P,Positions!$A:$A,$B$3,Positions!$B:$B,J$21,Positions!$D:$D,$F32))</f>
        <v>0</v>
      </c>
      <c r="K32" s="31">
        <f>IF($B$3="","",SUMIFS(Positions!$P:$P,Positions!$A:$A,$B$3,Positions!$B:$B,K$21,Positions!$D:$D,$F32))</f>
        <v>0</v>
      </c>
    </row>
    <row r="33" spans="1:11" ht="14" x14ac:dyDescent="0.15">
      <c r="A33" s="34"/>
      <c r="B33" s="35"/>
      <c r="C33" s="35"/>
      <c r="D33" s="38"/>
      <c r="F33" s="29" t="str">
        <f>Listes!C13</f>
        <v>SCI</v>
      </c>
      <c r="G33" s="31">
        <f>IF($B$3="","",SUMIFS(Positions!$P:$P,Positions!$A:$A,$B$3,Positions!$D:$D,$F33))</f>
        <v>0</v>
      </c>
      <c r="H33" s="31">
        <f>IF($B$3="","",SUMIFS(Positions!$P:$P,Positions!$A:$A,$B$3,Positions!$B:$B,H$21,Positions!$D:$D,$F33))</f>
        <v>0</v>
      </c>
      <c r="I33" s="31">
        <f>IF($B$3="","",SUMIFS(Positions!$P:$P,Positions!$A:$A,$B$3,Positions!$B:$B,I$21,Positions!$D:$D,$F33))</f>
        <v>0</v>
      </c>
      <c r="J33" s="31">
        <f>IF($B$3="","",SUMIFS(Positions!$P:$P,Positions!$A:$A,$B$3,Positions!$B:$B,J$21,Positions!$D:$D,$F33))</f>
        <v>0</v>
      </c>
      <c r="K33" s="31">
        <f>IF($B$3="","",SUMIFS(Positions!$P:$P,Positions!$A:$A,$B$3,Positions!$B:$B,K$21,Positions!$D:$D,$F33))</f>
        <v>0</v>
      </c>
    </row>
    <row r="34" spans="1:11" ht="14" x14ac:dyDescent="0.15">
      <c r="A34" s="34"/>
      <c r="B34" s="35"/>
      <c r="C34" s="35"/>
      <c r="D34" s="38"/>
      <c r="F34" s="29" t="str">
        <f>Listes!C14</f>
        <v>Dette</v>
      </c>
      <c r="G34" s="31">
        <f>IF($B$3="","",SUMIFS(Positions!$P:$P,Positions!$A:$A,$B$3,Positions!$D:$D,$F34))</f>
        <v>0</v>
      </c>
      <c r="H34" s="31">
        <f>IF($B$3="","",SUMIFS(Positions!$P:$P,Positions!$A:$A,$B$3,Positions!$B:$B,H$21,Positions!$D:$D,$F34))</f>
        <v>0</v>
      </c>
      <c r="I34" s="31">
        <f>IF($B$3="","",SUMIFS(Positions!$P:$P,Positions!$A:$A,$B$3,Positions!$B:$B,I$21,Positions!$D:$D,$F34))</f>
        <v>0</v>
      </c>
      <c r="J34" s="31">
        <f>IF($B$3="","",SUMIFS(Positions!$P:$P,Positions!$A:$A,$B$3,Positions!$B:$B,J$21,Positions!$D:$D,$F34))</f>
        <v>0</v>
      </c>
      <c r="K34" s="31">
        <f>IF($B$3="","",SUMIFS(Positions!$P:$P,Positions!$A:$A,$B$3,Positions!$B:$B,K$21,Positions!$D:$D,$F34))</f>
        <v>0</v>
      </c>
    </row>
    <row r="35" spans="1:11" ht="14" x14ac:dyDescent="0.15">
      <c r="A35" s="34"/>
      <c r="B35" s="35"/>
      <c r="C35" s="35"/>
      <c r="D35" s="38"/>
      <c r="F35" s="29" t="str">
        <f>Listes!C15</f>
        <v>Autre</v>
      </c>
      <c r="G35" s="31">
        <f>IF($B$3="","",SUMIFS(Positions!$P:$P,Positions!$A:$A,$B$3,Positions!$D:$D,$F35))</f>
        <v>0</v>
      </c>
      <c r="H35" s="31">
        <f>IF($B$3="","",SUMIFS(Positions!$P:$P,Positions!$A:$A,$B$3,Positions!$B:$B,H$21,Positions!$D:$D,$F35))</f>
        <v>0</v>
      </c>
      <c r="I35" s="31">
        <f>IF($B$3="","",SUMIFS(Positions!$P:$P,Positions!$A:$A,$B$3,Positions!$B:$B,I$21,Positions!$D:$D,$F35))</f>
        <v>0</v>
      </c>
      <c r="J35" s="31">
        <f>IF($B$3="","",SUMIFS(Positions!$P:$P,Positions!$A:$A,$B$3,Positions!$B:$B,J$21,Positions!$D:$D,$F35))</f>
        <v>0</v>
      </c>
      <c r="K35" s="31">
        <f>IF($B$3="","",SUMIFS(Positions!$P:$P,Positions!$A:$A,$B$3,Positions!$B:$B,K$21,Positions!$D:$D,$F35))</f>
        <v>0</v>
      </c>
    </row>
    <row r="36" spans="1:11" ht="14" x14ac:dyDescent="0.15">
      <c r="A36" s="34"/>
      <c r="B36" s="35"/>
      <c r="C36" s="35"/>
      <c r="D36" s="38"/>
      <c r="F36" s="36" t="s">
        <v>100</v>
      </c>
      <c r="G36" s="37">
        <f>IF(SUM(G22:G35)=D11,SUM(G22:G35),"Erreur")</f>
        <v>0</v>
      </c>
      <c r="H36" s="37">
        <f>IF(SUM(H22:H35)=D7,SUM(H22:H35),"Erreur")</f>
        <v>0</v>
      </c>
      <c r="I36" s="37">
        <f>IF(SUM(I22:I35)=D8,SUM(I22:I35),"Erreur")</f>
        <v>0</v>
      </c>
      <c r="J36" s="37">
        <f>IF(SUM(J22:J35)=D9,SUM(J22:J35),"Erreur")</f>
        <v>0</v>
      </c>
      <c r="K36" s="37">
        <f>IF(SUM(K22:K35)=D10,SUM(K22:K35),"Erreur")</f>
        <v>0</v>
      </c>
    </row>
    <row r="38" spans="1:11" ht="14" x14ac:dyDescent="0.15">
      <c r="F38" s="39" t="s">
        <v>114</v>
      </c>
    </row>
    <row r="39" spans="1:11" ht="15" x14ac:dyDescent="0.15">
      <c r="F39" s="40" t="s">
        <v>18</v>
      </c>
      <c r="G39" s="40" t="s">
        <v>115</v>
      </c>
      <c r="H39" s="40" t="str">
        <f t="array" ref="H39:K39">TRANSPOSE(Listes!A2:A5)</f>
        <v>Paul</v>
      </c>
      <c r="I39" s="40" t="str">
        <v>Claire</v>
      </c>
      <c r="J39" s="40" t="str">
        <v>Léo</v>
      </c>
      <c r="K39" s="40" t="str">
        <v>Zoé</v>
      </c>
    </row>
    <row r="40" spans="1:11" ht="14" x14ac:dyDescent="0.15">
      <c r="F40" s="41" t="str">
        <f>Listes!E2</f>
        <v>J0–J1</v>
      </c>
      <c r="G40" s="42">
        <f>IF($B$3="","",SUMIFS(Positions!$T:$T,Positions!$A:$A,$B$3,Positions!$Q:$Q,F40))</f>
        <v>0</v>
      </c>
      <c r="H40" s="31">
        <f>IF($B$3="","",SUMIFS(Positions!$T:$T,Positions!$A:$A,$B$3,Positions!$B:$B,H$6,Positions!$Q:$Q,$F40))</f>
        <v>0</v>
      </c>
      <c r="I40" s="31">
        <f>IF($B$3="","",SUMIFS(Positions!$T:$T,Positions!$A:$A,$B$3,Positions!$B:$B,I$6,Positions!$Q:$Q,$F40))</f>
        <v>0</v>
      </c>
      <c r="J40" s="31">
        <f>IF($B$3="","",SUMIFS(Positions!$T:$T,Positions!$A:$A,$B$3,Positions!$B:$B,J$6,Positions!$Q:$Q,$F40))</f>
        <v>0</v>
      </c>
      <c r="K40" s="31">
        <f>IF($B$3="","",SUMIFS(Positions!$T:$T,Positions!$A:$A,$B$3,Positions!$B:$B,K$6,Positions!$Q:$Q,$F40))</f>
        <v>0</v>
      </c>
    </row>
    <row r="41" spans="1:11" ht="14" x14ac:dyDescent="0.15">
      <c r="F41" s="41" t="str">
        <f>Listes!E3</f>
        <v>J2–J7</v>
      </c>
      <c r="G41" s="42">
        <f>IF($B$3="","",SUMIFS(Positions!$T:$T,Positions!$A:$A,$B$3,Positions!$Q:$Q,F41))</f>
        <v>0</v>
      </c>
      <c r="H41" s="31">
        <f>IF($B$3="","",SUMIFS(Positions!$T:$T,Positions!$A:$A,$B$3,Positions!$B:$B,H$6,Positions!$Q:$Q,$F41))</f>
        <v>0</v>
      </c>
      <c r="I41" s="31">
        <f>IF($B$3="","",SUMIFS(Positions!$T:$T,Positions!$A:$A,$B$3,Positions!$B:$B,I$6,Positions!$Q:$Q,$F41))</f>
        <v>0</v>
      </c>
      <c r="J41" s="31">
        <f>IF($B$3="","",SUMIFS(Positions!$T:$T,Positions!$A:$A,$B$3,Positions!$B:$B,J$6,Positions!$Q:$Q,$F41))</f>
        <v>0</v>
      </c>
      <c r="K41" s="31">
        <f>IF($B$3="","",SUMIFS(Positions!$T:$T,Positions!$A:$A,$B$3,Positions!$B:$B,K$6,Positions!$Q:$Q,$F41))</f>
        <v>0</v>
      </c>
    </row>
    <row r="42" spans="1:11" ht="14" x14ac:dyDescent="0.15">
      <c r="F42" s="41" t="str">
        <f>Listes!E4</f>
        <v>J8–J30</v>
      </c>
      <c r="G42" s="42">
        <f>IF($B$3="","",SUMIFS(Positions!$T:$T,Positions!$A:$A,$B$3,Positions!$Q:$Q,F42))</f>
        <v>0</v>
      </c>
      <c r="H42" s="31">
        <f>IF($B$3="","",SUMIFS(Positions!$T:$T,Positions!$A:$A,$B$3,Positions!$B:$B,H$6,Positions!$Q:$Q,$F42))</f>
        <v>0</v>
      </c>
      <c r="I42" s="31">
        <f>IF($B$3="","",SUMIFS(Positions!$T:$T,Positions!$A:$A,$B$3,Positions!$B:$B,I$6,Positions!$Q:$Q,$F42))</f>
        <v>0</v>
      </c>
      <c r="J42" s="31">
        <f>IF($B$3="","",SUMIFS(Positions!$T:$T,Positions!$A:$A,$B$3,Positions!$B:$B,J$6,Positions!$Q:$Q,$F42))</f>
        <v>0</v>
      </c>
      <c r="K42" s="31">
        <f>IF($B$3="","",SUMIFS(Positions!$T:$T,Positions!$A:$A,$B$3,Positions!$B:$B,K$6,Positions!$Q:$Q,$F42))</f>
        <v>0</v>
      </c>
    </row>
    <row r="43" spans="1:11" ht="14" x14ac:dyDescent="0.15">
      <c r="F43" s="43" t="str">
        <f>Listes!E5</f>
        <v>30J+</v>
      </c>
      <c r="G43" s="42">
        <f>IF($B$3="","",SUMIFS(Positions!$T:$T,Positions!$A:$A,$B$3,Positions!$Q:$Q,F43))</f>
        <v>0</v>
      </c>
      <c r="H43" s="31">
        <f>IF($B$3="","",SUMIFS(Positions!$T:$T,Positions!$A:$A,$B$3,Positions!$B:$B,H$6,Positions!$Q:$Q,$F43))</f>
        <v>0</v>
      </c>
      <c r="I43" s="31">
        <f>IF($B$3="","",SUMIFS(Positions!$T:$T,Positions!$A:$A,$B$3,Positions!$B:$B,I$6,Positions!$Q:$Q,$F43))</f>
        <v>0</v>
      </c>
      <c r="J43" s="31">
        <f>IF($B$3="","",SUMIFS(Positions!$T:$T,Positions!$A:$A,$B$3,Positions!$B:$B,J$6,Positions!$Q:$Q,$F43))</f>
        <v>0</v>
      </c>
      <c r="K43" s="31">
        <f>IF($B$3="","",SUMIFS(Positions!$T:$T,Positions!$A:$A,$B$3,Positions!$B:$B,K$6,Positions!$Q:$Q,$F43))</f>
        <v>0</v>
      </c>
    </row>
    <row r="44" spans="1:11" ht="14" x14ac:dyDescent="0.15">
      <c r="F44" s="41" t="str">
        <f>Listes!E6</f>
        <v>Bloqué</v>
      </c>
      <c r="G44" s="42">
        <f>IF($B$3="","",SUMIFS(Positions!$T:$T,Positions!$A:$A,$B$3,Positions!$Q:$Q,F44))</f>
        <v>0</v>
      </c>
      <c r="H44" s="31">
        <f>IF($B$3="","",SUMIFS(Positions!$T:$T,Positions!$A:$A,$B$3,Positions!$B:$B,H$6,Positions!$Q:$Q,$F44))</f>
        <v>0</v>
      </c>
      <c r="I44" s="31">
        <f>IF($B$3="","",SUMIFS(Positions!$T:$T,Positions!$A:$A,$B$3,Positions!$B:$B,I$6,Positions!$Q:$Q,$F44))</f>
        <v>0</v>
      </c>
      <c r="J44" s="31">
        <f>IF($B$3="","",SUMIFS(Positions!$T:$T,Positions!$A:$A,$B$3,Positions!$B:$B,J$6,Positions!$Q:$Q,$F44))</f>
        <v>0</v>
      </c>
      <c r="K44" s="31">
        <f>IF($B$3="","",SUMIFS(Positions!$T:$T,Positions!$A:$A,$B$3,Positions!$B:$B,K$6,Positions!$Q:$Q,$F44))</f>
        <v>0</v>
      </c>
    </row>
    <row r="45" spans="1:11" ht="14" x14ac:dyDescent="0.15">
      <c r="F45" s="41" t="s">
        <v>116</v>
      </c>
      <c r="G45" s="42">
        <f>IF($B$3="","",SUM(G40:G44))</f>
        <v>0</v>
      </c>
      <c r="H45" s="42">
        <f>IF($B$3="","",SUM(H40:H44))</f>
        <v>0</v>
      </c>
      <c r="I45" s="42">
        <f>IF($B$3="","",SUM(I40:I44))</f>
        <v>0</v>
      </c>
      <c r="J45" s="42">
        <f>IF($B$3="","",SUM(J40:J44))</f>
        <v>0</v>
      </c>
      <c r="K45" s="42">
        <f>IF($B$3="","",SUM(K40:K44))</f>
        <v>0</v>
      </c>
    </row>
  </sheetData>
  <mergeCells count="6">
    <mergeCell ref="A25:D25"/>
    <mergeCell ref="A1:H1"/>
    <mergeCell ref="A5:D5"/>
    <mergeCell ref="F5:H5"/>
    <mergeCell ref="A14:C14"/>
    <mergeCell ref="F20:H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7"/>
  <sheetViews>
    <sheetView tabSelected="1" zoomScaleNormal="100" workbookViewId="0">
      <selection activeCell="C17" sqref="C17"/>
    </sheetView>
  </sheetViews>
  <sheetFormatPr baseColWidth="10" defaultColWidth="14" defaultRowHeight="13" x14ac:dyDescent="0.15"/>
  <sheetData>
    <row r="2" spans="1:5" x14ac:dyDescent="0.15">
      <c r="A2" s="44" t="s">
        <v>68</v>
      </c>
      <c r="B2" t="s">
        <v>119</v>
      </c>
    </row>
    <row r="3" spans="1:5" x14ac:dyDescent="0.15">
      <c r="A3" s="44" t="s">
        <v>59</v>
      </c>
      <c r="B3" t="s">
        <v>120</v>
      </c>
    </row>
    <row r="5" spans="1:5" x14ac:dyDescent="0.15">
      <c r="A5" s="44" t="s">
        <v>117</v>
      </c>
      <c r="E5" s="44" t="s">
        <v>61</v>
      </c>
    </row>
    <row r="6" spans="1:5" x14ac:dyDescent="0.15">
      <c r="A6" s="44" t="s">
        <v>60</v>
      </c>
      <c r="B6" s="44" t="s">
        <v>16</v>
      </c>
      <c r="C6" s="44" t="s">
        <v>63</v>
      </c>
      <c r="D6" s="44" t="s">
        <v>62</v>
      </c>
      <c r="E6" t="s">
        <v>118</v>
      </c>
    </row>
    <row r="7" spans="1:5" x14ac:dyDescent="0.15">
      <c r="A7" t="s">
        <v>118</v>
      </c>
      <c r="E7" s="1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1866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Listes</vt:lpstr>
      <vt:lpstr>Positions</vt:lpstr>
      <vt:lpstr>Flux</vt:lpstr>
      <vt:lpstr>Entites</vt:lpstr>
      <vt:lpstr>Synthese</vt:lpstr>
      <vt:lpstr>TCD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Financy</dc:creator>
  <dc:description/>
  <cp:lastModifiedBy>Financy</cp:lastModifiedBy>
  <cp:revision>144</cp:revision>
  <dcterms:created xsi:type="dcterms:W3CDTF">2026-02-16T14:54:35Z</dcterms:created>
  <dcterms:modified xsi:type="dcterms:W3CDTF">2026-04-06T19:33:40Z</dcterms:modified>
  <dc:language>fr-FR</dc:language>
</cp:coreProperties>
</file>